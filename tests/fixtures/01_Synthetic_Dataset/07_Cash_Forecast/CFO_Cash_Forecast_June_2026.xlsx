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_Position" sheetId="2" state="visible" r:id="rId2"/>
    <sheet xmlns:r="http://schemas.openxmlformats.org/officeDocument/2006/relationships" name="Hedges" sheetId="3" state="visible" r:id="rId3"/>
    <sheet xmlns:r="http://schemas.openxmlformats.org/officeDocument/2006/relationships" name="Vendor_CF_Forecast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1"/>
    </font>
    <font>
      <b val="1"/>
      <color rgb="009C0006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Tamween Distribution Co. — CFO Cash Forecast</t>
        </is>
      </c>
    </row>
    <row r="2">
      <c r="A2" t="inlineStr">
        <is>
          <t>Prepared by: Hala Al-Saud (Treasury Analyst)</t>
        </is>
      </c>
    </row>
    <row r="3">
      <c r="A3" t="inlineStr">
        <is>
          <t>Prepared on: 28 June 2026</t>
        </is>
      </c>
    </row>
    <row r="4">
      <c r="A4" t="inlineStr">
        <is>
          <t>Period covered: July 2026 – December 2026 (forward look) with H1 2026 actuals reference</t>
        </is>
      </c>
    </row>
    <row r="6">
      <c r="A6" s="2" t="inlineStr">
        <is>
          <t>This workbook stitches together manual SAP TM cash-position exports, the H1 hedging register, and forecast vendor/customer cash flows. Forward 6-month cash position drives liquidity planning.</t>
        </is>
      </c>
    </row>
    <row r="7"/>
    <row r="8"/>
  </sheetData>
  <mergeCells count="1">
    <mergeCell ref="A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0" customWidth="1" min="4" max="4"/>
    <col width="18" customWidth="1" min="5" max="5"/>
    <col width="12" customWidth="1" min="6" max="6"/>
    <col width="18" customWidth="1" min="7" max="7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Bank</t>
        </is>
      </c>
      <c r="D1" s="3" t="inlineStr">
        <is>
          <t>Currency</t>
        </is>
      </c>
      <c r="E1" s="3" t="inlineStr">
        <is>
          <t>Balance (Local)</t>
        </is>
      </c>
      <c r="F1" s="3" t="inlineStr">
        <is>
          <t>FX to SAR</t>
        </is>
      </c>
      <c r="G1" s="3" t="inlineStr">
        <is>
          <t>Balance (SAR)</t>
        </is>
      </c>
    </row>
    <row r="2">
      <c r="A2" s="4" t="inlineStr">
        <is>
          <t>2026-01-02</t>
        </is>
      </c>
      <c r="B2" s="4" t="inlineStr">
        <is>
          <t>SNB Operating SAR</t>
        </is>
      </c>
      <c r="C2" s="4" t="inlineStr">
        <is>
          <t>Saudi National Bank</t>
        </is>
      </c>
      <c r="D2" s="4" t="inlineStr">
        <is>
          <t>SAR</t>
        </is>
      </c>
      <c r="E2" s="5" t="n">
        <v>42137105.72</v>
      </c>
      <c r="F2" s="5" t="n">
        <v>1</v>
      </c>
      <c r="G2" s="5" t="n">
        <v>42137105.72</v>
      </c>
    </row>
    <row r="3">
      <c r="A3" s="4" t="inlineStr">
        <is>
          <t>2026-01-02</t>
        </is>
      </c>
      <c r="B3" s="4" t="inlineStr">
        <is>
          <t>Riyad FX USD</t>
        </is>
      </c>
      <c r="C3" s="4" t="inlineStr">
        <is>
          <t>Riyad Bank</t>
        </is>
      </c>
      <c r="D3" s="4" t="inlineStr">
        <is>
          <t>USD</t>
        </is>
      </c>
      <c r="E3" s="5" t="n">
        <v>2237345.4</v>
      </c>
      <c r="F3" s="5" t="n">
        <v>3.75</v>
      </c>
      <c r="G3" s="5" t="n">
        <v>8390045.27</v>
      </c>
    </row>
    <row r="4">
      <c r="A4" s="4" t="inlineStr">
        <is>
          <t>2026-01-02</t>
        </is>
      </c>
      <c r="B4" s="4" t="inlineStr">
        <is>
          <t>ANB Payroll SAR</t>
        </is>
      </c>
      <c r="C4" s="4" t="inlineStr">
        <is>
          <t>Arab National Bank</t>
        </is>
      </c>
      <c r="D4" s="4" t="inlineStr">
        <is>
          <t>SAR</t>
        </is>
      </c>
      <c r="E4" s="5" t="n">
        <v>1227466.85</v>
      </c>
      <c r="F4" s="5" t="n">
        <v>1</v>
      </c>
      <c r="G4" s="5" t="n">
        <v>1227466.85</v>
      </c>
    </row>
    <row r="5">
      <c r="A5" s="4" t="inlineStr">
        <is>
          <t>2026-01-02</t>
        </is>
      </c>
      <c r="B5" s="4" t="inlineStr">
        <is>
          <t>Emirates NBD EUR</t>
        </is>
      </c>
      <c r="C5" s="4" t="inlineStr">
        <is>
          <t>Emirates NBD UAE</t>
        </is>
      </c>
      <c r="D5" s="4" t="inlineStr">
        <is>
          <t>EUR</t>
        </is>
      </c>
      <c r="E5" s="5" t="n">
        <v>435346.65</v>
      </c>
      <c r="F5" s="5" t="n">
        <v>4.18</v>
      </c>
      <c r="G5" s="5" t="n">
        <v>1819749.01</v>
      </c>
    </row>
    <row r="6">
      <c r="A6" s="4" t="inlineStr">
        <is>
          <t>2026-01-09</t>
        </is>
      </c>
      <c r="B6" s="4" t="inlineStr">
        <is>
          <t>SNB Operating SAR</t>
        </is>
      </c>
      <c r="C6" s="4" t="inlineStr">
        <is>
          <t>Saudi National Bank</t>
        </is>
      </c>
      <c r="D6" s="4" t="inlineStr">
        <is>
          <t>SAR</t>
        </is>
      </c>
      <c r="E6" s="5" t="n">
        <v>43004578.7</v>
      </c>
      <c r="F6" s="5" t="n">
        <v>1</v>
      </c>
      <c r="G6" s="5" t="n">
        <v>43004578.7</v>
      </c>
    </row>
    <row r="7">
      <c r="A7" s="4" t="inlineStr">
        <is>
          <t>2026-01-09</t>
        </is>
      </c>
      <c r="B7" s="4" t="inlineStr">
        <is>
          <t>Riyad FX USD</t>
        </is>
      </c>
      <c r="C7" s="4" t="inlineStr">
        <is>
          <t>Riyad Bank</t>
        </is>
      </c>
      <c r="D7" s="4" t="inlineStr">
        <is>
          <t>USD</t>
        </is>
      </c>
      <c r="E7" s="5" t="n">
        <v>2176196.23</v>
      </c>
      <c r="F7" s="5" t="n">
        <v>3.75</v>
      </c>
      <c r="G7" s="5" t="n">
        <v>8160735.87</v>
      </c>
    </row>
    <row r="8">
      <c r="A8" s="4" t="inlineStr">
        <is>
          <t>2026-01-09</t>
        </is>
      </c>
      <c r="B8" s="4" t="inlineStr">
        <is>
          <t>ANB Payroll SAR</t>
        </is>
      </c>
      <c r="C8" s="4" t="inlineStr">
        <is>
          <t>Arab National Bank</t>
        </is>
      </c>
      <c r="D8" s="4" t="inlineStr">
        <is>
          <t>SAR</t>
        </is>
      </c>
      <c r="E8" s="5" t="n">
        <v>957516.21</v>
      </c>
      <c r="F8" s="5" t="n">
        <v>1</v>
      </c>
      <c r="G8" s="5" t="n">
        <v>957516.21</v>
      </c>
    </row>
    <row r="9">
      <c r="A9" s="4" t="inlineStr">
        <is>
          <t>2026-01-09</t>
        </is>
      </c>
      <c r="B9" s="4" t="inlineStr">
        <is>
          <t>Emirates NBD EUR</t>
        </is>
      </c>
      <c r="C9" s="4" t="inlineStr">
        <is>
          <t>Emirates NBD UAE</t>
        </is>
      </c>
      <c r="D9" s="4" t="inlineStr">
        <is>
          <t>EUR</t>
        </is>
      </c>
      <c r="E9" s="5" t="n">
        <v>440009.18</v>
      </c>
      <c r="F9" s="5" t="n">
        <v>4.18</v>
      </c>
      <c r="G9" s="5" t="n">
        <v>1839238.39</v>
      </c>
    </row>
    <row r="10">
      <c r="A10" s="4" t="inlineStr">
        <is>
          <t>2026-01-16</t>
        </is>
      </c>
      <c r="B10" s="4" t="inlineStr">
        <is>
          <t>SNB Operating SAR</t>
        </is>
      </c>
      <c r="C10" s="4" t="inlineStr">
        <is>
          <t>Saudi National Bank</t>
        </is>
      </c>
      <c r="D10" s="4" t="inlineStr">
        <is>
          <t>SAR</t>
        </is>
      </c>
      <c r="E10" s="5" t="n">
        <v>42920683.96</v>
      </c>
      <c r="F10" s="5" t="n">
        <v>1</v>
      </c>
      <c r="G10" s="5" t="n">
        <v>42920683.96</v>
      </c>
    </row>
    <row r="11">
      <c r="A11" s="4" t="inlineStr">
        <is>
          <t>2026-01-16</t>
        </is>
      </c>
      <c r="B11" s="4" t="inlineStr">
        <is>
          <t>Riyad FX USD</t>
        </is>
      </c>
      <c r="C11" s="4" t="inlineStr">
        <is>
          <t>Riyad Bank</t>
        </is>
      </c>
      <c r="D11" s="4" t="inlineStr">
        <is>
          <t>USD</t>
        </is>
      </c>
      <c r="E11" s="5" t="n">
        <v>2225003.2</v>
      </c>
      <c r="F11" s="5" t="n">
        <v>3.75</v>
      </c>
      <c r="G11" s="5" t="n">
        <v>8343761.99</v>
      </c>
    </row>
    <row r="12">
      <c r="A12" s="4" t="inlineStr">
        <is>
          <t>2026-01-16</t>
        </is>
      </c>
      <c r="B12" s="4" t="inlineStr">
        <is>
          <t>ANB Payroll SAR</t>
        </is>
      </c>
      <c r="C12" s="4" t="inlineStr">
        <is>
          <t>Arab National Bank</t>
        </is>
      </c>
      <c r="D12" s="4" t="inlineStr">
        <is>
          <t>SAR</t>
        </is>
      </c>
      <c r="E12" s="5" t="n">
        <v>1000877.34</v>
      </c>
      <c r="F12" s="5" t="n">
        <v>1</v>
      </c>
      <c r="G12" s="5" t="n">
        <v>1000877.34</v>
      </c>
    </row>
    <row r="13">
      <c r="A13" s="4" t="inlineStr">
        <is>
          <t>2026-01-16</t>
        </is>
      </c>
      <c r="B13" s="4" t="inlineStr">
        <is>
          <t>Emirates NBD EUR</t>
        </is>
      </c>
      <c r="C13" s="4" t="inlineStr">
        <is>
          <t>Emirates NBD UAE</t>
        </is>
      </c>
      <c r="D13" s="4" t="inlineStr">
        <is>
          <t>EUR</t>
        </is>
      </c>
      <c r="E13" s="5" t="n">
        <v>434617.39</v>
      </c>
      <c r="F13" s="5" t="n">
        <v>4.18</v>
      </c>
      <c r="G13" s="5" t="n">
        <v>1816700.68</v>
      </c>
    </row>
    <row r="14">
      <c r="A14" s="4" t="inlineStr">
        <is>
          <t>2026-01-23</t>
        </is>
      </c>
      <c r="B14" s="4" t="inlineStr">
        <is>
          <t>SNB Operating SAR</t>
        </is>
      </c>
      <c r="C14" s="4" t="inlineStr">
        <is>
          <t>Saudi National Bank</t>
        </is>
      </c>
      <c r="D14" s="4" t="inlineStr">
        <is>
          <t>SAR</t>
        </is>
      </c>
      <c r="E14" s="5" t="n">
        <v>43157513.02</v>
      </c>
      <c r="F14" s="5" t="n">
        <v>1</v>
      </c>
      <c r="G14" s="5" t="n">
        <v>43157513.02</v>
      </c>
    </row>
    <row r="15">
      <c r="A15" s="4" t="inlineStr">
        <is>
          <t>2026-01-23</t>
        </is>
      </c>
      <c r="B15" s="4" t="inlineStr">
        <is>
          <t>Riyad FX USD</t>
        </is>
      </c>
      <c r="C15" s="4" t="inlineStr">
        <is>
          <t>Riyad Bank</t>
        </is>
      </c>
      <c r="D15" s="4" t="inlineStr">
        <is>
          <t>USD</t>
        </is>
      </c>
      <c r="E15" s="5" t="n">
        <v>2158340.63</v>
      </c>
      <c r="F15" s="5" t="n">
        <v>3.75</v>
      </c>
      <c r="G15" s="5" t="n">
        <v>8093777.37</v>
      </c>
    </row>
    <row r="16">
      <c r="A16" s="4" t="inlineStr">
        <is>
          <t>2026-01-23</t>
        </is>
      </c>
      <c r="B16" s="4" t="inlineStr">
        <is>
          <t>ANB Payroll SAR</t>
        </is>
      </c>
      <c r="C16" s="4" t="inlineStr">
        <is>
          <t>Arab National Bank</t>
        </is>
      </c>
      <c r="D16" s="4" t="inlineStr">
        <is>
          <t>SAR</t>
        </is>
      </c>
      <c r="E16" s="5" t="n">
        <v>2261775.32</v>
      </c>
      <c r="F16" s="5" t="n">
        <v>1</v>
      </c>
      <c r="G16" s="5" t="n">
        <v>2261775.32</v>
      </c>
    </row>
    <row r="17">
      <c r="A17" s="4" t="inlineStr">
        <is>
          <t>2026-01-23</t>
        </is>
      </c>
      <c r="B17" s="4" t="inlineStr">
        <is>
          <t>Emirates NBD EUR</t>
        </is>
      </c>
      <c r="C17" s="4" t="inlineStr">
        <is>
          <t>Emirates NBD UAE</t>
        </is>
      </c>
      <c r="D17" s="4" t="inlineStr">
        <is>
          <t>EUR</t>
        </is>
      </c>
      <c r="E17" s="5" t="n">
        <v>427401.3</v>
      </c>
      <c r="F17" s="5" t="n">
        <v>4.18</v>
      </c>
      <c r="G17" s="5" t="n">
        <v>1786537.45</v>
      </c>
    </row>
    <row r="18">
      <c r="A18" s="4" t="inlineStr">
        <is>
          <t>2026-01-30</t>
        </is>
      </c>
      <c r="B18" s="4" t="inlineStr">
        <is>
          <t>SNB Operating SAR</t>
        </is>
      </c>
      <c r="C18" s="4" t="inlineStr">
        <is>
          <t>Saudi National Bank</t>
        </is>
      </c>
      <c r="D18" s="4" t="inlineStr">
        <is>
          <t>SAR</t>
        </is>
      </c>
      <c r="E18" s="5" t="n">
        <v>42426393.98</v>
      </c>
      <c r="F18" s="5" t="n">
        <v>1</v>
      </c>
      <c r="G18" s="5" t="n">
        <v>42426393.98</v>
      </c>
    </row>
    <row r="19">
      <c r="A19" s="4" t="inlineStr">
        <is>
          <t>2026-01-30</t>
        </is>
      </c>
      <c r="B19" s="4" t="inlineStr">
        <is>
          <t>Riyad FX USD</t>
        </is>
      </c>
      <c r="C19" s="4" t="inlineStr">
        <is>
          <t>Riyad Bank</t>
        </is>
      </c>
      <c r="D19" s="4" t="inlineStr">
        <is>
          <t>USD</t>
        </is>
      </c>
      <c r="E19" s="5" t="n">
        <v>2166186.31</v>
      </c>
      <c r="F19" s="5" t="n">
        <v>3.75</v>
      </c>
      <c r="G19" s="5" t="n">
        <v>8123198.66</v>
      </c>
    </row>
    <row r="20">
      <c r="A20" s="4" t="inlineStr">
        <is>
          <t>2026-01-30</t>
        </is>
      </c>
      <c r="B20" s="4" t="inlineStr">
        <is>
          <t>ANB Payroll SAR</t>
        </is>
      </c>
      <c r="C20" s="4" t="inlineStr">
        <is>
          <t>Arab National Bank</t>
        </is>
      </c>
      <c r="D20" s="4" t="inlineStr">
        <is>
          <t>SAR</t>
        </is>
      </c>
      <c r="E20" s="5" t="n">
        <v>1310991.1</v>
      </c>
      <c r="F20" s="5" t="n">
        <v>1</v>
      </c>
      <c r="G20" s="5" t="n">
        <v>1310991.1</v>
      </c>
    </row>
    <row r="21">
      <c r="A21" s="4" t="inlineStr">
        <is>
          <t>2026-01-30</t>
        </is>
      </c>
      <c r="B21" s="4" t="inlineStr">
        <is>
          <t>Emirates NBD EUR</t>
        </is>
      </c>
      <c r="C21" s="4" t="inlineStr">
        <is>
          <t>Emirates NBD UAE</t>
        </is>
      </c>
      <c r="D21" s="4" t="inlineStr">
        <is>
          <t>EUR</t>
        </is>
      </c>
      <c r="E21" s="5" t="n">
        <v>431155.1</v>
      </c>
      <c r="F21" s="5" t="n">
        <v>4.18</v>
      </c>
      <c r="G21" s="5" t="n">
        <v>1802228.31</v>
      </c>
    </row>
    <row r="22">
      <c r="A22" s="4" t="inlineStr">
        <is>
          <t>2026-02-06</t>
        </is>
      </c>
      <c r="B22" s="4" t="inlineStr">
        <is>
          <t>SNB Operating SAR</t>
        </is>
      </c>
      <c r="C22" s="4" t="inlineStr">
        <is>
          <t>Saudi National Bank</t>
        </is>
      </c>
      <c r="D22" s="4" t="inlineStr">
        <is>
          <t>SAR</t>
        </is>
      </c>
      <c r="E22" s="5" t="n">
        <v>43681252.92</v>
      </c>
      <c r="F22" s="5" t="n">
        <v>1</v>
      </c>
      <c r="G22" s="5" t="n">
        <v>43681252.92</v>
      </c>
    </row>
    <row r="23">
      <c r="A23" s="4" t="inlineStr">
        <is>
          <t>2026-02-06</t>
        </is>
      </c>
      <c r="B23" s="4" t="inlineStr">
        <is>
          <t>Riyad FX USD</t>
        </is>
      </c>
      <c r="C23" s="4" t="inlineStr">
        <is>
          <t>Riyad Bank</t>
        </is>
      </c>
      <c r="D23" s="4" t="inlineStr">
        <is>
          <t>USD</t>
        </is>
      </c>
      <c r="E23" s="5" t="n">
        <v>2119062.05</v>
      </c>
      <c r="F23" s="5" t="n">
        <v>3.75</v>
      </c>
      <c r="G23" s="5" t="n">
        <v>7946482.7</v>
      </c>
    </row>
    <row r="24">
      <c r="A24" s="4" t="inlineStr">
        <is>
          <t>2026-02-06</t>
        </is>
      </c>
      <c r="B24" s="4" t="inlineStr">
        <is>
          <t>ANB Payroll SAR</t>
        </is>
      </c>
      <c r="C24" s="4" t="inlineStr">
        <is>
          <t>Arab National Bank</t>
        </is>
      </c>
      <c r="D24" s="4" t="inlineStr">
        <is>
          <t>SAR</t>
        </is>
      </c>
      <c r="E24" s="5" t="n">
        <v>2704225.34</v>
      </c>
      <c r="F24" s="5" t="n">
        <v>1</v>
      </c>
      <c r="G24" s="5" t="n">
        <v>2704225.34</v>
      </c>
    </row>
    <row r="25">
      <c r="A25" s="4" t="inlineStr">
        <is>
          <t>2026-02-06</t>
        </is>
      </c>
      <c r="B25" s="4" t="inlineStr">
        <is>
          <t>Emirates NBD EUR</t>
        </is>
      </c>
      <c r="C25" s="4" t="inlineStr">
        <is>
          <t>Emirates NBD UAE</t>
        </is>
      </c>
      <c r="D25" s="4" t="inlineStr">
        <is>
          <t>EUR</t>
        </is>
      </c>
      <c r="E25" s="5" t="n">
        <v>429861.94</v>
      </c>
      <c r="F25" s="5" t="n">
        <v>4.18</v>
      </c>
      <c r="G25" s="5" t="n">
        <v>1796822.9</v>
      </c>
    </row>
    <row r="26">
      <c r="A26" s="4" t="inlineStr">
        <is>
          <t>2026-02-13</t>
        </is>
      </c>
      <c r="B26" s="4" t="inlineStr">
        <is>
          <t>SNB Operating SAR</t>
        </is>
      </c>
      <c r="C26" s="4" t="inlineStr">
        <is>
          <t>Saudi National Bank</t>
        </is>
      </c>
      <c r="D26" s="4" t="inlineStr">
        <is>
          <t>SAR</t>
        </is>
      </c>
      <c r="E26" s="5" t="n">
        <v>44611489.24</v>
      </c>
      <c r="F26" s="5" t="n">
        <v>1</v>
      </c>
      <c r="G26" s="5" t="n">
        <v>44611489.24</v>
      </c>
    </row>
    <row r="27">
      <c r="A27" s="4" t="inlineStr">
        <is>
          <t>2026-02-13</t>
        </is>
      </c>
      <c r="B27" s="4" t="inlineStr">
        <is>
          <t>Riyad FX USD</t>
        </is>
      </c>
      <c r="C27" s="4" t="inlineStr">
        <is>
          <t>Riyad Bank</t>
        </is>
      </c>
      <c r="D27" s="4" t="inlineStr">
        <is>
          <t>USD</t>
        </is>
      </c>
      <c r="E27" s="5" t="n">
        <v>2092774.97</v>
      </c>
      <c r="F27" s="5" t="n">
        <v>3.75</v>
      </c>
      <c r="G27" s="5" t="n">
        <v>7847906.13</v>
      </c>
    </row>
    <row r="28">
      <c r="A28" s="4" t="inlineStr">
        <is>
          <t>2026-02-13</t>
        </is>
      </c>
      <c r="B28" s="4" t="inlineStr">
        <is>
          <t>ANB Payroll SAR</t>
        </is>
      </c>
      <c r="C28" s="4" t="inlineStr">
        <is>
          <t>Arab National Bank</t>
        </is>
      </c>
      <c r="D28" s="4" t="inlineStr">
        <is>
          <t>SAR</t>
        </is>
      </c>
      <c r="E28" s="5" t="n">
        <v>2491962.4</v>
      </c>
      <c r="F28" s="5" t="n">
        <v>1</v>
      </c>
      <c r="G28" s="5" t="n">
        <v>2491962.4</v>
      </c>
    </row>
    <row r="29">
      <c r="A29" s="4" t="inlineStr">
        <is>
          <t>2026-02-13</t>
        </is>
      </c>
      <c r="B29" s="4" t="inlineStr">
        <is>
          <t>Emirates NBD EUR</t>
        </is>
      </c>
      <c r="C29" s="4" t="inlineStr">
        <is>
          <t>Emirates NBD UAE</t>
        </is>
      </c>
      <c r="D29" s="4" t="inlineStr">
        <is>
          <t>EUR</t>
        </is>
      </c>
      <c r="E29" s="5" t="n">
        <v>418642.77</v>
      </c>
      <c r="F29" s="5" t="n">
        <v>4.18</v>
      </c>
      <c r="G29" s="5" t="n">
        <v>1749926.77</v>
      </c>
    </row>
    <row r="30">
      <c r="A30" s="4" t="inlineStr">
        <is>
          <t>2026-02-20</t>
        </is>
      </c>
      <c r="B30" s="4" t="inlineStr">
        <is>
          <t>SNB Operating SAR</t>
        </is>
      </c>
      <c r="C30" s="4" t="inlineStr">
        <is>
          <t>Saudi National Bank</t>
        </is>
      </c>
      <c r="D30" s="4" t="inlineStr">
        <is>
          <t>SAR</t>
        </is>
      </c>
      <c r="E30" s="5" t="n">
        <v>42244254.35</v>
      </c>
      <c r="F30" s="5" t="n">
        <v>1</v>
      </c>
      <c r="G30" s="5" t="n">
        <v>42244254.35</v>
      </c>
    </row>
    <row r="31">
      <c r="A31" s="4" t="inlineStr">
        <is>
          <t>2026-02-20</t>
        </is>
      </c>
      <c r="B31" s="4" t="inlineStr">
        <is>
          <t>Riyad FX USD</t>
        </is>
      </c>
      <c r="C31" s="4" t="inlineStr">
        <is>
          <t>Riyad Bank</t>
        </is>
      </c>
      <c r="D31" s="4" t="inlineStr">
        <is>
          <t>USD</t>
        </is>
      </c>
      <c r="E31" s="5" t="n">
        <v>2024043.94</v>
      </c>
      <c r="F31" s="5" t="n">
        <v>3.75</v>
      </c>
      <c r="G31" s="5" t="n">
        <v>7590164.78</v>
      </c>
    </row>
    <row r="32">
      <c r="A32" s="4" t="inlineStr">
        <is>
          <t>2026-02-20</t>
        </is>
      </c>
      <c r="B32" s="4" t="inlineStr">
        <is>
          <t>ANB Payroll SAR</t>
        </is>
      </c>
      <c r="C32" s="4" t="inlineStr">
        <is>
          <t>Arab National Bank</t>
        </is>
      </c>
      <c r="D32" s="4" t="inlineStr">
        <is>
          <t>SAR</t>
        </is>
      </c>
      <c r="E32" s="5" t="n">
        <v>4011193.8</v>
      </c>
      <c r="F32" s="5" t="n">
        <v>1</v>
      </c>
      <c r="G32" s="5" t="n">
        <v>4011193.8</v>
      </c>
    </row>
    <row r="33">
      <c r="A33" s="4" t="inlineStr">
        <is>
          <t>2026-02-20</t>
        </is>
      </c>
      <c r="B33" s="4" t="inlineStr">
        <is>
          <t>Emirates NBD EUR</t>
        </is>
      </c>
      <c r="C33" s="4" t="inlineStr">
        <is>
          <t>Emirates NBD UAE</t>
        </is>
      </c>
      <c r="D33" s="4" t="inlineStr">
        <is>
          <t>EUR</t>
        </is>
      </c>
      <c r="E33" s="5" t="n">
        <v>417563.73</v>
      </c>
      <c r="F33" s="5" t="n">
        <v>4.18</v>
      </c>
      <c r="G33" s="5" t="n">
        <v>1745416.37</v>
      </c>
    </row>
    <row r="34">
      <c r="A34" s="4" t="inlineStr">
        <is>
          <t>2026-02-27</t>
        </is>
      </c>
      <c r="B34" s="4" t="inlineStr">
        <is>
          <t>SNB Operating SAR</t>
        </is>
      </c>
      <c r="C34" s="4" t="inlineStr">
        <is>
          <t>Saudi National Bank</t>
        </is>
      </c>
      <c r="D34" s="4" t="inlineStr">
        <is>
          <t>SAR</t>
        </is>
      </c>
      <c r="E34" s="5" t="n">
        <v>41831227.08</v>
      </c>
      <c r="F34" s="5" t="n">
        <v>1</v>
      </c>
      <c r="G34" s="5" t="n">
        <v>41831227.08</v>
      </c>
    </row>
    <row r="35">
      <c r="A35" s="4" t="inlineStr">
        <is>
          <t>2026-02-27</t>
        </is>
      </c>
      <c r="B35" s="4" t="inlineStr">
        <is>
          <t>Riyad FX USD</t>
        </is>
      </c>
      <c r="C35" s="4" t="inlineStr">
        <is>
          <t>Riyad Bank</t>
        </is>
      </c>
      <c r="D35" s="4" t="inlineStr">
        <is>
          <t>USD</t>
        </is>
      </c>
      <c r="E35" s="5" t="n">
        <v>2066749.37</v>
      </c>
      <c r="F35" s="5" t="n">
        <v>3.75</v>
      </c>
      <c r="G35" s="5" t="n">
        <v>7750310.14</v>
      </c>
    </row>
    <row r="36">
      <c r="A36" s="4" t="inlineStr">
        <is>
          <t>2026-02-27</t>
        </is>
      </c>
      <c r="B36" s="4" t="inlineStr">
        <is>
          <t>ANB Payroll SAR</t>
        </is>
      </c>
      <c r="C36" s="4" t="inlineStr">
        <is>
          <t>Arab National Bank</t>
        </is>
      </c>
      <c r="D36" s="4" t="inlineStr">
        <is>
          <t>SAR</t>
        </is>
      </c>
      <c r="E36" s="5" t="n">
        <v>4397445.73</v>
      </c>
      <c r="F36" s="5" t="n">
        <v>1</v>
      </c>
      <c r="G36" s="5" t="n">
        <v>4397445.73</v>
      </c>
    </row>
    <row r="37">
      <c r="A37" s="4" t="inlineStr">
        <is>
          <t>2026-02-27</t>
        </is>
      </c>
      <c r="B37" s="4" t="inlineStr">
        <is>
          <t>Emirates NBD EUR</t>
        </is>
      </c>
      <c r="C37" s="4" t="inlineStr">
        <is>
          <t>Emirates NBD UAE</t>
        </is>
      </c>
      <c r="D37" s="4" t="inlineStr">
        <is>
          <t>EUR</t>
        </is>
      </c>
      <c r="E37" s="5" t="n">
        <v>433418.73</v>
      </c>
      <c r="F37" s="5" t="n">
        <v>4.18</v>
      </c>
      <c r="G37" s="5" t="n">
        <v>1811690.28</v>
      </c>
    </row>
    <row r="38">
      <c r="A38" s="4" t="inlineStr">
        <is>
          <t>2026-03-06</t>
        </is>
      </c>
      <c r="B38" s="4" t="inlineStr">
        <is>
          <t>SNB Operating SAR</t>
        </is>
      </c>
      <c r="C38" s="4" t="inlineStr">
        <is>
          <t>Saudi National Bank</t>
        </is>
      </c>
      <c r="D38" s="4" t="inlineStr">
        <is>
          <t>SAR</t>
        </is>
      </c>
      <c r="E38" s="5" t="n">
        <v>40968584.26</v>
      </c>
      <c r="F38" s="5" t="n">
        <v>1</v>
      </c>
      <c r="G38" s="5" t="n">
        <v>40968584.26</v>
      </c>
    </row>
    <row r="39">
      <c r="A39" s="4" t="inlineStr">
        <is>
          <t>2026-03-06</t>
        </is>
      </c>
      <c r="B39" s="4" t="inlineStr">
        <is>
          <t>Riyad FX USD</t>
        </is>
      </c>
      <c r="C39" s="4" t="inlineStr">
        <is>
          <t>Riyad Bank</t>
        </is>
      </c>
      <c r="D39" s="4" t="inlineStr">
        <is>
          <t>USD</t>
        </is>
      </c>
      <c r="E39" s="5" t="n">
        <v>1999947.77</v>
      </c>
      <c r="F39" s="5" t="n">
        <v>3.75</v>
      </c>
      <c r="G39" s="5" t="n">
        <v>7499804.12</v>
      </c>
    </row>
    <row r="40">
      <c r="A40" s="4" t="inlineStr">
        <is>
          <t>2026-03-06</t>
        </is>
      </c>
      <c r="B40" s="4" t="inlineStr">
        <is>
          <t>ANB Payroll SAR</t>
        </is>
      </c>
      <c r="C40" s="4" t="inlineStr">
        <is>
          <t>Arab National Bank</t>
        </is>
      </c>
      <c r="D40" s="4" t="inlineStr">
        <is>
          <t>SAR</t>
        </is>
      </c>
      <c r="E40" s="5" t="n">
        <v>5713700.21</v>
      </c>
      <c r="F40" s="5" t="n">
        <v>1</v>
      </c>
      <c r="G40" s="5" t="n">
        <v>5713700.21</v>
      </c>
    </row>
    <row r="41">
      <c r="A41" s="4" t="inlineStr">
        <is>
          <t>2026-03-06</t>
        </is>
      </c>
      <c r="B41" s="4" t="inlineStr">
        <is>
          <t>Emirates NBD EUR</t>
        </is>
      </c>
      <c r="C41" s="4" t="inlineStr">
        <is>
          <t>Emirates NBD UAE</t>
        </is>
      </c>
      <c r="D41" s="4" t="inlineStr">
        <is>
          <t>EUR</t>
        </is>
      </c>
      <c r="E41" s="5" t="n">
        <v>418043.11</v>
      </c>
      <c r="F41" s="5" t="n">
        <v>4.18</v>
      </c>
      <c r="G41" s="5" t="n">
        <v>1747420.19</v>
      </c>
    </row>
    <row r="42">
      <c r="A42" s="4" t="inlineStr">
        <is>
          <t>2026-03-13</t>
        </is>
      </c>
      <c r="B42" s="4" t="inlineStr">
        <is>
          <t>SNB Operating SAR</t>
        </is>
      </c>
      <c r="C42" s="4" t="inlineStr">
        <is>
          <t>Saudi National Bank</t>
        </is>
      </c>
      <c r="D42" s="4" t="inlineStr">
        <is>
          <t>SAR</t>
        </is>
      </c>
      <c r="E42" s="5" t="n">
        <v>41973492.44</v>
      </c>
      <c r="F42" s="5" t="n">
        <v>1</v>
      </c>
      <c r="G42" s="5" t="n">
        <v>41973492.44</v>
      </c>
    </row>
    <row r="43">
      <c r="A43" s="4" t="inlineStr">
        <is>
          <t>2026-03-13</t>
        </is>
      </c>
      <c r="B43" s="4" t="inlineStr">
        <is>
          <t>Riyad FX USD</t>
        </is>
      </c>
      <c r="C43" s="4" t="inlineStr">
        <is>
          <t>Riyad Bank</t>
        </is>
      </c>
      <c r="D43" s="4" t="inlineStr">
        <is>
          <t>USD</t>
        </is>
      </c>
      <c r="E43" s="5" t="n">
        <v>1993881.24</v>
      </c>
      <c r="F43" s="5" t="n">
        <v>3.75</v>
      </c>
      <c r="G43" s="5" t="n">
        <v>7477054.63</v>
      </c>
    </row>
    <row r="44">
      <c r="A44" s="4" t="inlineStr">
        <is>
          <t>2026-03-13</t>
        </is>
      </c>
      <c r="B44" s="4" t="inlineStr">
        <is>
          <t>ANB Payroll SAR</t>
        </is>
      </c>
      <c r="C44" s="4" t="inlineStr">
        <is>
          <t>Arab National Bank</t>
        </is>
      </c>
      <c r="D44" s="4" t="inlineStr">
        <is>
          <t>SAR</t>
        </is>
      </c>
      <c r="E44" s="5" t="n">
        <v>7213220.07</v>
      </c>
      <c r="F44" s="5" t="n">
        <v>1</v>
      </c>
      <c r="G44" s="5" t="n">
        <v>7213220.07</v>
      </c>
    </row>
    <row r="45">
      <c r="A45" s="4" t="inlineStr">
        <is>
          <t>2026-03-13</t>
        </is>
      </c>
      <c r="B45" s="4" t="inlineStr">
        <is>
          <t>Emirates NBD EUR</t>
        </is>
      </c>
      <c r="C45" s="4" t="inlineStr">
        <is>
          <t>Emirates NBD UAE</t>
        </is>
      </c>
      <c r="D45" s="4" t="inlineStr">
        <is>
          <t>EUR</t>
        </is>
      </c>
      <c r="E45" s="5" t="n">
        <v>432642.56</v>
      </c>
      <c r="F45" s="5" t="n">
        <v>4.18</v>
      </c>
      <c r="G45" s="5" t="n">
        <v>1808445.88</v>
      </c>
    </row>
    <row r="46">
      <c r="A46" s="4" t="inlineStr">
        <is>
          <t>2026-03-20</t>
        </is>
      </c>
      <c r="B46" s="4" t="inlineStr">
        <is>
          <t>SNB Operating SAR</t>
        </is>
      </c>
      <c r="C46" s="4" t="inlineStr">
        <is>
          <t>Saudi National Bank</t>
        </is>
      </c>
      <c r="D46" s="4" t="inlineStr">
        <is>
          <t>SAR</t>
        </is>
      </c>
      <c r="E46" s="5" t="n">
        <v>42412780.94</v>
      </c>
      <c r="F46" s="5" t="n">
        <v>1</v>
      </c>
      <c r="G46" s="5" t="n">
        <v>42412780.94</v>
      </c>
    </row>
    <row r="47">
      <c r="A47" s="4" t="inlineStr">
        <is>
          <t>2026-03-20</t>
        </is>
      </c>
      <c r="B47" s="4" t="inlineStr">
        <is>
          <t>Riyad FX USD</t>
        </is>
      </c>
      <c r="C47" s="4" t="inlineStr">
        <is>
          <t>Riyad Bank</t>
        </is>
      </c>
      <c r="D47" s="4" t="inlineStr">
        <is>
          <t>USD</t>
        </is>
      </c>
      <c r="E47" s="5" t="n">
        <v>1898477.85</v>
      </c>
      <c r="F47" s="5" t="n">
        <v>3.75</v>
      </c>
      <c r="G47" s="5" t="n">
        <v>7119291.93</v>
      </c>
    </row>
    <row r="48">
      <c r="A48" s="4" t="inlineStr">
        <is>
          <t>2026-03-20</t>
        </is>
      </c>
      <c r="B48" s="4" t="inlineStr">
        <is>
          <t>ANB Payroll SAR</t>
        </is>
      </c>
      <c r="C48" s="4" t="inlineStr">
        <is>
          <t>Arab National Bank</t>
        </is>
      </c>
      <c r="D48" s="4" t="inlineStr">
        <is>
          <t>SAR</t>
        </is>
      </c>
      <c r="E48" s="5" t="n">
        <v>5881966.41</v>
      </c>
      <c r="F48" s="5" t="n">
        <v>1</v>
      </c>
      <c r="G48" s="5" t="n">
        <v>5881966.41</v>
      </c>
    </row>
    <row r="49">
      <c r="A49" s="4" t="inlineStr">
        <is>
          <t>2026-03-20</t>
        </is>
      </c>
      <c r="B49" s="4" t="inlineStr">
        <is>
          <t>Emirates NBD EUR</t>
        </is>
      </c>
      <c r="C49" s="4" t="inlineStr">
        <is>
          <t>Emirates NBD UAE</t>
        </is>
      </c>
      <c r="D49" s="4" t="inlineStr">
        <is>
          <t>EUR</t>
        </is>
      </c>
      <c r="E49" s="5" t="n">
        <v>429244.54</v>
      </c>
      <c r="F49" s="5" t="n">
        <v>4.18</v>
      </c>
      <c r="G49" s="5" t="n">
        <v>1794242.19</v>
      </c>
    </row>
    <row r="50">
      <c r="A50" s="4" t="inlineStr">
        <is>
          <t>2026-03-27</t>
        </is>
      </c>
      <c r="B50" s="4" t="inlineStr">
        <is>
          <t>SNB Operating SAR</t>
        </is>
      </c>
      <c r="C50" s="4" t="inlineStr">
        <is>
          <t>Saudi National Bank</t>
        </is>
      </c>
      <c r="D50" s="4" t="inlineStr">
        <is>
          <t>SAR</t>
        </is>
      </c>
      <c r="E50" s="5" t="n">
        <v>43537353.62</v>
      </c>
      <c r="F50" s="5" t="n">
        <v>1</v>
      </c>
      <c r="G50" s="5" t="n">
        <v>43537353.62</v>
      </c>
    </row>
    <row r="51">
      <c r="A51" s="4" t="inlineStr">
        <is>
          <t>2026-03-27</t>
        </is>
      </c>
      <c r="B51" s="4" t="inlineStr">
        <is>
          <t>Riyad FX USD</t>
        </is>
      </c>
      <c r="C51" s="4" t="inlineStr">
        <is>
          <t>Riyad Bank</t>
        </is>
      </c>
      <c r="D51" s="4" t="inlineStr">
        <is>
          <t>USD</t>
        </is>
      </c>
      <c r="E51" s="5" t="n">
        <v>1810130.14</v>
      </c>
      <c r="F51" s="5" t="n">
        <v>3.75</v>
      </c>
      <c r="G51" s="5" t="n">
        <v>6787988.02</v>
      </c>
    </row>
    <row r="52">
      <c r="A52" s="4" t="inlineStr">
        <is>
          <t>2026-03-27</t>
        </is>
      </c>
      <c r="B52" s="4" t="inlineStr">
        <is>
          <t>ANB Payroll SAR</t>
        </is>
      </c>
      <c r="C52" s="4" t="inlineStr">
        <is>
          <t>Arab National Bank</t>
        </is>
      </c>
      <c r="D52" s="4" t="inlineStr">
        <is>
          <t>SAR</t>
        </is>
      </c>
      <c r="E52" s="5" t="n">
        <v>5736956.09</v>
      </c>
      <c r="F52" s="5" t="n">
        <v>1</v>
      </c>
      <c r="G52" s="5" t="n">
        <v>5736956.09</v>
      </c>
    </row>
    <row r="53">
      <c r="A53" s="4" t="inlineStr">
        <is>
          <t>2026-03-27</t>
        </is>
      </c>
      <c r="B53" s="4" t="inlineStr">
        <is>
          <t>Emirates NBD EUR</t>
        </is>
      </c>
      <c r="C53" s="4" t="inlineStr">
        <is>
          <t>Emirates NBD UAE</t>
        </is>
      </c>
      <c r="D53" s="4" t="inlineStr">
        <is>
          <t>EUR</t>
        </is>
      </c>
      <c r="E53" s="5" t="n">
        <v>411006.03</v>
      </c>
      <c r="F53" s="5" t="n">
        <v>4.18</v>
      </c>
      <c r="G53" s="5" t="n">
        <v>1718005.21</v>
      </c>
    </row>
    <row r="54">
      <c r="A54" s="4" t="inlineStr">
        <is>
          <t>2026-04-03</t>
        </is>
      </c>
      <c r="B54" s="4" t="inlineStr">
        <is>
          <t>SNB Operating SAR</t>
        </is>
      </c>
      <c r="C54" s="4" t="inlineStr">
        <is>
          <t>Saudi National Bank</t>
        </is>
      </c>
      <c r="D54" s="4" t="inlineStr">
        <is>
          <t>SAR</t>
        </is>
      </c>
      <c r="E54" s="5" t="n">
        <v>42469523.4</v>
      </c>
      <c r="F54" s="5" t="n">
        <v>1</v>
      </c>
      <c r="G54" s="5" t="n">
        <v>42469523.4</v>
      </c>
    </row>
    <row r="55">
      <c r="A55" s="4" t="inlineStr">
        <is>
          <t>2026-04-03</t>
        </is>
      </c>
      <c r="B55" s="4" t="inlineStr">
        <is>
          <t>Riyad FX USD</t>
        </is>
      </c>
      <c r="C55" s="4" t="inlineStr">
        <is>
          <t>Riyad Bank</t>
        </is>
      </c>
      <c r="D55" s="4" t="inlineStr">
        <is>
          <t>USD</t>
        </is>
      </c>
      <c r="E55" s="5" t="n">
        <v>1709703.68</v>
      </c>
      <c r="F55" s="5" t="n">
        <v>3.75</v>
      </c>
      <c r="G55" s="5" t="n">
        <v>6411388.79</v>
      </c>
    </row>
    <row r="56">
      <c r="A56" s="4" t="inlineStr">
        <is>
          <t>2026-04-03</t>
        </is>
      </c>
      <c r="B56" s="4" t="inlineStr">
        <is>
          <t>ANB Payroll SAR</t>
        </is>
      </c>
      <c r="C56" s="4" t="inlineStr">
        <is>
          <t>Arab National Bank</t>
        </is>
      </c>
      <c r="D56" s="4" t="inlineStr">
        <is>
          <t>SAR</t>
        </is>
      </c>
      <c r="E56" s="5" t="n">
        <v>5309564.26</v>
      </c>
      <c r="F56" s="5" t="n">
        <v>1</v>
      </c>
      <c r="G56" s="5" t="n">
        <v>5309564.26</v>
      </c>
    </row>
    <row r="57">
      <c r="A57" s="4" t="inlineStr">
        <is>
          <t>2026-04-03</t>
        </is>
      </c>
      <c r="B57" s="4" t="inlineStr">
        <is>
          <t>Emirates NBD EUR</t>
        </is>
      </c>
      <c r="C57" s="4" t="inlineStr">
        <is>
          <t>Emirates NBD UAE</t>
        </is>
      </c>
      <c r="D57" s="4" t="inlineStr">
        <is>
          <t>EUR</t>
        </is>
      </c>
      <c r="E57" s="5" t="n">
        <v>409509.46</v>
      </c>
      <c r="F57" s="5" t="n">
        <v>4.18</v>
      </c>
      <c r="G57" s="5" t="n">
        <v>1711749.54</v>
      </c>
    </row>
    <row r="58">
      <c r="A58" s="4" t="inlineStr">
        <is>
          <t>2026-04-10</t>
        </is>
      </c>
      <c r="B58" s="4" t="inlineStr">
        <is>
          <t>SNB Operating SAR</t>
        </is>
      </c>
      <c r="C58" s="4" t="inlineStr">
        <is>
          <t>Saudi National Bank</t>
        </is>
      </c>
      <c r="D58" s="4" t="inlineStr">
        <is>
          <t>SAR</t>
        </is>
      </c>
      <c r="E58" s="5" t="n">
        <v>40932939.38</v>
      </c>
      <c r="F58" s="5" t="n">
        <v>1</v>
      </c>
      <c r="G58" s="5" t="n">
        <v>40932939.38</v>
      </c>
    </row>
    <row r="59">
      <c r="A59" s="4" t="inlineStr">
        <is>
          <t>2026-04-10</t>
        </is>
      </c>
      <c r="B59" s="4" t="inlineStr">
        <is>
          <t>Riyad FX USD</t>
        </is>
      </c>
      <c r="C59" s="4" t="inlineStr">
        <is>
          <t>Riyad Bank</t>
        </is>
      </c>
      <c r="D59" s="4" t="inlineStr">
        <is>
          <t>USD</t>
        </is>
      </c>
      <c r="E59" s="5" t="n">
        <v>1734324.88</v>
      </c>
      <c r="F59" s="5" t="n">
        <v>3.75</v>
      </c>
      <c r="G59" s="5" t="n">
        <v>6503718.31</v>
      </c>
    </row>
    <row r="60">
      <c r="A60" s="4" t="inlineStr">
        <is>
          <t>2026-04-10</t>
        </is>
      </c>
      <c r="B60" s="4" t="inlineStr">
        <is>
          <t>ANB Payroll SAR</t>
        </is>
      </c>
      <c r="C60" s="4" t="inlineStr">
        <is>
          <t>Arab National Bank</t>
        </is>
      </c>
      <c r="D60" s="4" t="inlineStr">
        <is>
          <t>SAR</t>
        </is>
      </c>
      <c r="E60" s="5" t="n">
        <v>4072993.98</v>
      </c>
      <c r="F60" s="5" t="n">
        <v>1</v>
      </c>
      <c r="G60" s="5" t="n">
        <v>4072993.98</v>
      </c>
    </row>
    <row r="61">
      <c r="A61" s="4" t="inlineStr">
        <is>
          <t>2026-04-10</t>
        </is>
      </c>
      <c r="B61" s="4" t="inlineStr">
        <is>
          <t>Emirates NBD EUR</t>
        </is>
      </c>
      <c r="C61" s="4" t="inlineStr">
        <is>
          <t>Emirates NBD UAE</t>
        </is>
      </c>
      <c r="D61" s="4" t="inlineStr">
        <is>
          <t>EUR</t>
        </is>
      </c>
      <c r="E61" s="5" t="n">
        <v>396071.57</v>
      </c>
      <c r="F61" s="5" t="n">
        <v>4.18</v>
      </c>
      <c r="G61" s="5" t="n">
        <v>1655579.17</v>
      </c>
    </row>
    <row r="62">
      <c r="A62" s="4" t="inlineStr">
        <is>
          <t>2026-04-17</t>
        </is>
      </c>
      <c r="B62" s="4" t="inlineStr">
        <is>
          <t>SNB Operating SAR</t>
        </is>
      </c>
      <c r="C62" s="4" t="inlineStr">
        <is>
          <t>Saudi National Bank</t>
        </is>
      </c>
      <c r="D62" s="4" t="inlineStr">
        <is>
          <t>SAR</t>
        </is>
      </c>
      <c r="E62" s="5" t="n">
        <v>39640518.65</v>
      </c>
      <c r="F62" s="5" t="n">
        <v>1</v>
      </c>
      <c r="G62" s="5" t="n">
        <v>39640518.65</v>
      </c>
    </row>
    <row r="63">
      <c r="A63" s="4" t="inlineStr">
        <is>
          <t>2026-04-17</t>
        </is>
      </c>
      <c r="B63" s="4" t="inlineStr">
        <is>
          <t>Riyad FX USD</t>
        </is>
      </c>
      <c r="C63" s="4" t="inlineStr">
        <is>
          <t>Riyad Bank</t>
        </is>
      </c>
      <c r="D63" s="4" t="inlineStr">
        <is>
          <t>USD</t>
        </is>
      </c>
      <c r="E63" s="5" t="n">
        <v>1697642.38</v>
      </c>
      <c r="F63" s="5" t="n">
        <v>3.75</v>
      </c>
      <c r="G63" s="5" t="n">
        <v>6366158.91</v>
      </c>
    </row>
    <row r="64">
      <c r="A64" s="4" t="inlineStr">
        <is>
          <t>2026-04-17</t>
        </is>
      </c>
      <c r="B64" s="4" t="inlineStr">
        <is>
          <t>ANB Payroll SAR</t>
        </is>
      </c>
      <c r="C64" s="4" t="inlineStr">
        <is>
          <t>Arab National Bank</t>
        </is>
      </c>
      <c r="D64" s="4" t="inlineStr">
        <is>
          <t>SAR</t>
        </is>
      </c>
      <c r="E64" s="5" t="n">
        <v>4926189.03</v>
      </c>
      <c r="F64" s="5" t="n">
        <v>1</v>
      </c>
      <c r="G64" s="5" t="n">
        <v>4926189.03</v>
      </c>
    </row>
    <row r="65">
      <c r="A65" s="4" t="inlineStr">
        <is>
          <t>2026-04-17</t>
        </is>
      </c>
      <c r="B65" s="4" t="inlineStr">
        <is>
          <t>Emirates NBD EUR</t>
        </is>
      </c>
      <c r="C65" s="4" t="inlineStr">
        <is>
          <t>Emirates NBD UAE</t>
        </is>
      </c>
      <c r="D65" s="4" t="inlineStr">
        <is>
          <t>EUR</t>
        </is>
      </c>
      <c r="E65" s="5" t="n">
        <v>388083.38</v>
      </c>
      <c r="F65" s="5" t="n">
        <v>4.18</v>
      </c>
      <c r="G65" s="5" t="n">
        <v>1622188.53</v>
      </c>
    </row>
    <row r="66">
      <c r="A66" s="4" t="inlineStr">
        <is>
          <t>2026-04-24</t>
        </is>
      </c>
      <c r="B66" s="4" t="inlineStr">
        <is>
          <t>SNB Operating SAR</t>
        </is>
      </c>
      <c r="C66" s="4" t="inlineStr">
        <is>
          <t>Saudi National Bank</t>
        </is>
      </c>
      <c r="D66" s="4" t="inlineStr">
        <is>
          <t>SAR</t>
        </is>
      </c>
      <c r="E66" s="5" t="n">
        <v>40229013.95</v>
      </c>
      <c r="F66" s="5" t="n">
        <v>1</v>
      </c>
      <c r="G66" s="5" t="n">
        <v>40229013.95</v>
      </c>
    </row>
    <row r="67">
      <c r="A67" s="4" t="inlineStr">
        <is>
          <t>2026-04-24</t>
        </is>
      </c>
      <c r="B67" s="4" t="inlineStr">
        <is>
          <t>Riyad FX USD</t>
        </is>
      </c>
      <c r="C67" s="4" t="inlineStr">
        <is>
          <t>Riyad Bank</t>
        </is>
      </c>
      <c r="D67" s="4" t="inlineStr">
        <is>
          <t>USD</t>
        </is>
      </c>
      <c r="E67" s="5" t="n">
        <v>1743860.94</v>
      </c>
      <c r="F67" s="5" t="n">
        <v>3.75</v>
      </c>
      <c r="G67" s="5" t="n">
        <v>6539478.54</v>
      </c>
    </row>
    <row r="68">
      <c r="A68" s="4" t="inlineStr">
        <is>
          <t>2026-04-24</t>
        </is>
      </c>
      <c r="B68" s="4" t="inlineStr">
        <is>
          <t>ANB Payroll SAR</t>
        </is>
      </c>
      <c r="C68" s="4" t="inlineStr">
        <is>
          <t>Arab National Bank</t>
        </is>
      </c>
      <c r="D68" s="4" t="inlineStr">
        <is>
          <t>SAR</t>
        </is>
      </c>
      <c r="E68" s="5" t="n">
        <v>3912423.51</v>
      </c>
      <c r="F68" s="5" t="n">
        <v>1</v>
      </c>
      <c r="G68" s="5" t="n">
        <v>3912423.51</v>
      </c>
    </row>
    <row r="69">
      <c r="A69" s="4" t="inlineStr">
        <is>
          <t>2026-04-24</t>
        </is>
      </c>
      <c r="B69" s="4" t="inlineStr">
        <is>
          <t>Emirates NBD EUR</t>
        </is>
      </c>
      <c r="C69" s="4" t="inlineStr">
        <is>
          <t>Emirates NBD UAE</t>
        </is>
      </c>
      <c r="D69" s="4" t="inlineStr">
        <is>
          <t>EUR</t>
        </is>
      </c>
      <c r="E69" s="5" t="n">
        <v>399621.35</v>
      </c>
      <c r="F69" s="5" t="n">
        <v>4.18</v>
      </c>
      <c r="G69" s="5" t="n">
        <v>1670417.25</v>
      </c>
    </row>
    <row r="70">
      <c r="A70" s="4" t="inlineStr">
        <is>
          <t>2026-05-01</t>
        </is>
      </c>
      <c r="B70" s="4" t="inlineStr">
        <is>
          <t>SNB Operating SAR</t>
        </is>
      </c>
      <c r="C70" s="4" t="inlineStr">
        <is>
          <t>Saudi National Bank</t>
        </is>
      </c>
      <c r="D70" s="4" t="inlineStr">
        <is>
          <t>SAR</t>
        </is>
      </c>
      <c r="E70" s="5" t="n">
        <v>40407586.49</v>
      </c>
      <c r="F70" s="5" t="n">
        <v>1</v>
      </c>
      <c r="G70" s="5" t="n">
        <v>40407586.49</v>
      </c>
    </row>
    <row r="71">
      <c r="A71" s="4" t="inlineStr">
        <is>
          <t>2026-05-01</t>
        </is>
      </c>
      <c r="B71" s="4" t="inlineStr">
        <is>
          <t>Riyad FX USD</t>
        </is>
      </c>
      <c r="C71" s="4" t="inlineStr">
        <is>
          <t>Riyad Bank</t>
        </is>
      </c>
      <c r="D71" s="4" t="inlineStr">
        <is>
          <t>USD</t>
        </is>
      </c>
      <c r="E71" s="5" t="n">
        <v>1762083.02</v>
      </c>
      <c r="F71" s="5" t="n">
        <v>3.75</v>
      </c>
      <c r="G71" s="5" t="n">
        <v>6607811.33</v>
      </c>
    </row>
    <row r="72">
      <c r="A72" s="4" t="inlineStr">
        <is>
          <t>2026-05-01</t>
        </is>
      </c>
      <c r="B72" s="4" t="inlineStr">
        <is>
          <t>ANB Payroll SAR</t>
        </is>
      </c>
      <c r="C72" s="4" t="inlineStr">
        <is>
          <t>Arab National Bank</t>
        </is>
      </c>
      <c r="D72" s="4" t="inlineStr">
        <is>
          <t>SAR</t>
        </is>
      </c>
      <c r="E72" s="5" t="n">
        <v>4306125.47</v>
      </c>
      <c r="F72" s="5" t="n">
        <v>1</v>
      </c>
      <c r="G72" s="5" t="n">
        <v>4306125.47</v>
      </c>
    </row>
    <row r="73">
      <c r="A73" s="4" t="inlineStr">
        <is>
          <t>2026-05-01</t>
        </is>
      </c>
      <c r="B73" s="4" t="inlineStr">
        <is>
          <t>Emirates NBD EUR</t>
        </is>
      </c>
      <c r="C73" s="4" t="inlineStr">
        <is>
          <t>Emirates NBD UAE</t>
        </is>
      </c>
      <c r="D73" s="4" t="inlineStr">
        <is>
          <t>EUR</t>
        </is>
      </c>
      <c r="E73" s="5" t="n">
        <v>393718.94</v>
      </c>
      <c r="F73" s="5" t="n">
        <v>4.18</v>
      </c>
      <c r="G73" s="5" t="n">
        <v>1645745.16</v>
      </c>
    </row>
    <row r="74">
      <c r="A74" s="4" t="inlineStr">
        <is>
          <t>2026-05-08</t>
        </is>
      </c>
      <c r="B74" s="4" t="inlineStr">
        <is>
          <t>SNB Operating SAR</t>
        </is>
      </c>
      <c r="C74" s="4" t="inlineStr">
        <is>
          <t>Saudi National Bank</t>
        </is>
      </c>
      <c r="D74" s="4" t="inlineStr">
        <is>
          <t>SAR</t>
        </is>
      </c>
      <c r="E74" s="5" t="n">
        <v>38422464.45</v>
      </c>
      <c r="F74" s="5" t="n">
        <v>1</v>
      </c>
      <c r="G74" s="5" t="n">
        <v>38422464.45</v>
      </c>
    </row>
    <row r="75">
      <c r="A75" s="4" t="inlineStr">
        <is>
          <t>2026-05-08</t>
        </is>
      </c>
      <c r="B75" s="4" t="inlineStr">
        <is>
          <t>Riyad FX USD</t>
        </is>
      </c>
      <c r="C75" s="4" t="inlineStr">
        <is>
          <t>Riyad Bank</t>
        </is>
      </c>
      <c r="D75" s="4" t="inlineStr">
        <is>
          <t>USD</t>
        </is>
      </c>
      <c r="E75" s="5" t="n">
        <v>1683735.67</v>
      </c>
      <c r="F75" s="5" t="n">
        <v>3.75</v>
      </c>
      <c r="G75" s="5" t="n">
        <v>6314008.77</v>
      </c>
    </row>
    <row r="76">
      <c r="A76" s="4" t="inlineStr">
        <is>
          <t>2026-05-08</t>
        </is>
      </c>
      <c r="B76" s="4" t="inlineStr">
        <is>
          <t>ANB Payroll SAR</t>
        </is>
      </c>
      <c r="C76" s="4" t="inlineStr">
        <is>
          <t>Arab National Bank</t>
        </is>
      </c>
      <c r="D76" s="4" t="inlineStr">
        <is>
          <t>SAR</t>
        </is>
      </c>
      <c r="E76" s="5" t="n">
        <v>3419823.94</v>
      </c>
      <c r="F76" s="5" t="n">
        <v>1</v>
      </c>
      <c r="G76" s="5" t="n">
        <v>3419823.94</v>
      </c>
    </row>
    <row r="77">
      <c r="A77" s="4" t="inlineStr">
        <is>
          <t>2026-05-08</t>
        </is>
      </c>
      <c r="B77" s="4" t="inlineStr">
        <is>
          <t>Emirates NBD EUR</t>
        </is>
      </c>
      <c r="C77" s="4" t="inlineStr">
        <is>
          <t>Emirates NBD UAE</t>
        </is>
      </c>
      <c r="D77" s="4" t="inlineStr">
        <is>
          <t>EUR</t>
        </is>
      </c>
      <c r="E77" s="5" t="n">
        <v>378987.67</v>
      </c>
      <c r="F77" s="5" t="n">
        <v>4.18</v>
      </c>
      <c r="G77" s="5" t="n">
        <v>1584168.44</v>
      </c>
    </row>
    <row r="78">
      <c r="A78" s="4" t="inlineStr">
        <is>
          <t>2026-05-15</t>
        </is>
      </c>
      <c r="B78" s="4" t="inlineStr">
        <is>
          <t>SNB Operating SAR</t>
        </is>
      </c>
      <c r="C78" s="4" t="inlineStr">
        <is>
          <t>Saudi National Bank</t>
        </is>
      </c>
      <c r="D78" s="4" t="inlineStr">
        <is>
          <t>SAR</t>
        </is>
      </c>
      <c r="E78" s="5" t="n">
        <v>36648163.68</v>
      </c>
      <c r="F78" s="5" t="n">
        <v>1</v>
      </c>
      <c r="G78" s="5" t="n">
        <v>36648163.68</v>
      </c>
    </row>
    <row r="79">
      <c r="A79" s="4" t="inlineStr">
        <is>
          <t>2026-05-15</t>
        </is>
      </c>
      <c r="B79" s="4" t="inlineStr">
        <is>
          <t>Riyad FX USD</t>
        </is>
      </c>
      <c r="C79" s="4" t="inlineStr">
        <is>
          <t>Riyad Bank</t>
        </is>
      </c>
      <c r="D79" s="4" t="inlineStr">
        <is>
          <t>USD</t>
        </is>
      </c>
      <c r="E79" s="5" t="n">
        <v>1615615.03</v>
      </c>
      <c r="F79" s="5" t="n">
        <v>3.75</v>
      </c>
      <c r="G79" s="5" t="n">
        <v>6058556.37</v>
      </c>
    </row>
    <row r="80">
      <c r="A80" s="4" t="inlineStr">
        <is>
          <t>2026-05-15</t>
        </is>
      </c>
      <c r="B80" s="4" t="inlineStr">
        <is>
          <t>ANB Payroll SAR</t>
        </is>
      </c>
      <c r="C80" s="4" t="inlineStr">
        <is>
          <t>Arab National Bank</t>
        </is>
      </c>
      <c r="D80" s="4" t="inlineStr">
        <is>
          <t>SAR</t>
        </is>
      </c>
      <c r="E80" s="5" t="n">
        <v>3674672.86</v>
      </c>
      <c r="F80" s="5" t="n">
        <v>1</v>
      </c>
      <c r="G80" s="5" t="n">
        <v>3674672.86</v>
      </c>
    </row>
    <row r="81">
      <c r="A81" s="4" t="inlineStr">
        <is>
          <t>2026-05-15</t>
        </is>
      </c>
      <c r="B81" s="4" t="inlineStr">
        <is>
          <t>Emirates NBD EUR</t>
        </is>
      </c>
      <c r="C81" s="4" t="inlineStr">
        <is>
          <t>Emirates NBD UAE</t>
        </is>
      </c>
      <c r="D81" s="4" t="inlineStr">
        <is>
          <t>EUR</t>
        </is>
      </c>
      <c r="E81" s="5" t="n">
        <v>386951.96</v>
      </c>
      <c r="F81" s="5" t="n">
        <v>4.18</v>
      </c>
      <c r="G81" s="5" t="n">
        <v>1617459.18</v>
      </c>
    </row>
    <row r="82">
      <c r="A82" s="4" t="inlineStr">
        <is>
          <t>2026-05-22</t>
        </is>
      </c>
      <c r="B82" s="4" t="inlineStr">
        <is>
          <t>SNB Operating SAR</t>
        </is>
      </c>
      <c r="C82" s="4" t="inlineStr">
        <is>
          <t>Saudi National Bank</t>
        </is>
      </c>
      <c r="D82" s="4" t="inlineStr">
        <is>
          <t>SAR</t>
        </is>
      </c>
      <c r="E82" s="5" t="n">
        <v>37679415.77</v>
      </c>
      <c r="F82" s="5" t="n">
        <v>1</v>
      </c>
      <c r="G82" s="5" t="n">
        <v>37679415.77</v>
      </c>
    </row>
    <row r="83">
      <c r="A83" s="4" t="inlineStr">
        <is>
          <t>2026-05-22</t>
        </is>
      </c>
      <c r="B83" s="4" t="inlineStr">
        <is>
          <t>Riyad FX USD</t>
        </is>
      </c>
      <c r="C83" s="4" t="inlineStr">
        <is>
          <t>Riyad Bank</t>
        </is>
      </c>
      <c r="D83" s="4" t="inlineStr">
        <is>
          <t>USD</t>
        </is>
      </c>
      <c r="E83" s="5" t="n">
        <v>1649661.76</v>
      </c>
      <c r="F83" s="5" t="n">
        <v>3.75</v>
      </c>
      <c r="G83" s="5" t="n">
        <v>6186231.62</v>
      </c>
    </row>
    <row r="84">
      <c r="A84" s="4" t="inlineStr">
        <is>
          <t>2026-05-22</t>
        </is>
      </c>
      <c r="B84" s="4" t="inlineStr">
        <is>
          <t>ANB Payroll SAR</t>
        </is>
      </c>
      <c r="C84" s="4" t="inlineStr">
        <is>
          <t>Arab National Bank</t>
        </is>
      </c>
      <c r="D84" s="4" t="inlineStr">
        <is>
          <t>SAR</t>
        </is>
      </c>
      <c r="E84" s="5" t="n">
        <v>2620452.01</v>
      </c>
      <c r="F84" s="5" t="n">
        <v>1</v>
      </c>
      <c r="G84" s="5" t="n">
        <v>2620452.01</v>
      </c>
    </row>
    <row r="85">
      <c r="A85" s="4" t="inlineStr">
        <is>
          <t>2026-05-22</t>
        </is>
      </c>
      <c r="B85" s="4" t="inlineStr">
        <is>
          <t>Emirates NBD EUR</t>
        </is>
      </c>
      <c r="C85" s="4" t="inlineStr">
        <is>
          <t>Emirates NBD UAE</t>
        </is>
      </c>
      <c r="D85" s="4" t="inlineStr">
        <is>
          <t>EUR</t>
        </is>
      </c>
      <c r="E85" s="5" t="n">
        <v>396898.31</v>
      </c>
      <c r="F85" s="5" t="n">
        <v>4.18</v>
      </c>
      <c r="G85" s="5" t="n">
        <v>1659034.94</v>
      </c>
    </row>
    <row r="86">
      <c r="A86" s="4" t="inlineStr">
        <is>
          <t>2026-05-29</t>
        </is>
      </c>
      <c r="B86" s="4" t="inlineStr">
        <is>
          <t>SNB Operating SAR</t>
        </is>
      </c>
      <c r="C86" s="4" t="inlineStr">
        <is>
          <t>Saudi National Bank</t>
        </is>
      </c>
      <c r="D86" s="4" t="inlineStr">
        <is>
          <t>SAR</t>
        </is>
      </c>
      <c r="E86" s="5" t="n">
        <v>36079009.1</v>
      </c>
      <c r="F86" s="5" t="n">
        <v>1</v>
      </c>
      <c r="G86" s="5" t="n">
        <v>36079009.1</v>
      </c>
    </row>
    <row r="87">
      <c r="A87" s="4" t="inlineStr">
        <is>
          <t>2026-05-29</t>
        </is>
      </c>
      <c r="B87" s="4" t="inlineStr">
        <is>
          <t>Riyad FX USD</t>
        </is>
      </c>
      <c r="C87" s="4" t="inlineStr">
        <is>
          <t>Riyad Bank</t>
        </is>
      </c>
      <c r="D87" s="4" t="inlineStr">
        <is>
          <t>USD</t>
        </is>
      </c>
      <c r="E87" s="5" t="n">
        <v>1559910.74</v>
      </c>
      <c r="F87" s="5" t="n">
        <v>3.75</v>
      </c>
      <c r="G87" s="5" t="n">
        <v>5849665.28</v>
      </c>
    </row>
    <row r="88">
      <c r="A88" s="4" t="inlineStr">
        <is>
          <t>2026-05-29</t>
        </is>
      </c>
      <c r="B88" s="4" t="inlineStr">
        <is>
          <t>ANB Payroll SAR</t>
        </is>
      </c>
      <c r="C88" s="4" t="inlineStr">
        <is>
          <t>Arab National Bank</t>
        </is>
      </c>
      <c r="D88" s="4" t="inlineStr">
        <is>
          <t>SAR</t>
        </is>
      </c>
      <c r="E88" s="5" t="n">
        <v>2069209.13</v>
      </c>
      <c r="F88" s="5" t="n">
        <v>1</v>
      </c>
      <c r="G88" s="5" t="n">
        <v>2069209.13</v>
      </c>
    </row>
    <row r="89">
      <c r="A89" s="4" t="inlineStr">
        <is>
          <t>2026-05-29</t>
        </is>
      </c>
      <c r="B89" s="4" t="inlineStr">
        <is>
          <t>Emirates NBD EUR</t>
        </is>
      </c>
      <c r="C89" s="4" t="inlineStr">
        <is>
          <t>Emirates NBD UAE</t>
        </is>
      </c>
      <c r="D89" s="4" t="inlineStr">
        <is>
          <t>EUR</t>
        </is>
      </c>
      <c r="E89" s="5" t="n">
        <v>397786.06</v>
      </c>
      <c r="F89" s="5" t="n">
        <v>4.18</v>
      </c>
      <c r="G89" s="5" t="n">
        <v>1662745.74</v>
      </c>
    </row>
    <row r="90">
      <c r="A90" s="4" t="inlineStr">
        <is>
          <t>2026-06-05</t>
        </is>
      </c>
      <c r="B90" s="4" t="inlineStr">
        <is>
          <t>SNB Operating SAR</t>
        </is>
      </c>
      <c r="C90" s="4" t="inlineStr">
        <is>
          <t>Saudi National Bank</t>
        </is>
      </c>
      <c r="D90" s="4" t="inlineStr">
        <is>
          <t>SAR</t>
        </is>
      </c>
      <c r="E90" s="5" t="n">
        <v>33884022.98</v>
      </c>
      <c r="F90" s="5" t="n">
        <v>1</v>
      </c>
      <c r="G90" s="5" t="n">
        <v>33884022.98</v>
      </c>
    </row>
    <row r="91">
      <c r="A91" s="4" t="inlineStr">
        <is>
          <t>2026-06-05</t>
        </is>
      </c>
      <c r="B91" s="4" t="inlineStr">
        <is>
          <t>Riyad FX USD</t>
        </is>
      </c>
      <c r="C91" s="4" t="inlineStr">
        <is>
          <t>Riyad Bank</t>
        </is>
      </c>
      <c r="D91" s="4" t="inlineStr">
        <is>
          <t>USD</t>
        </is>
      </c>
      <c r="E91" s="5" t="n">
        <v>1493188.95</v>
      </c>
      <c r="F91" s="5" t="n">
        <v>3.75</v>
      </c>
      <c r="G91" s="5" t="n">
        <v>5599458.58</v>
      </c>
    </row>
    <row r="92">
      <c r="A92" s="4" t="inlineStr">
        <is>
          <t>2026-06-05</t>
        </is>
      </c>
      <c r="B92" s="4" t="inlineStr">
        <is>
          <t>ANB Payroll SAR</t>
        </is>
      </c>
      <c r="C92" s="4" t="inlineStr">
        <is>
          <t>Arab National Bank</t>
        </is>
      </c>
      <c r="D92" s="4" t="inlineStr">
        <is>
          <t>SAR</t>
        </is>
      </c>
      <c r="E92" s="5" t="n">
        <v>1846556.6</v>
      </c>
      <c r="F92" s="5" t="n">
        <v>1</v>
      </c>
      <c r="G92" s="5" t="n">
        <v>1846556.6</v>
      </c>
    </row>
    <row r="93">
      <c r="A93" s="4" t="inlineStr">
        <is>
          <t>2026-06-05</t>
        </is>
      </c>
      <c r="B93" s="4" t="inlineStr">
        <is>
          <t>Emirates NBD EUR</t>
        </is>
      </c>
      <c r="C93" s="4" t="inlineStr">
        <is>
          <t>Emirates NBD UAE</t>
        </is>
      </c>
      <c r="D93" s="4" t="inlineStr">
        <is>
          <t>EUR</t>
        </is>
      </c>
      <c r="E93" s="5" t="n">
        <v>407733.13</v>
      </c>
      <c r="F93" s="5" t="n">
        <v>4.18</v>
      </c>
      <c r="G93" s="5" t="n">
        <v>1704324.48</v>
      </c>
    </row>
    <row r="94">
      <c r="A94" s="4" t="inlineStr">
        <is>
          <t>2026-06-12</t>
        </is>
      </c>
      <c r="B94" s="4" t="inlineStr">
        <is>
          <t>SNB Operating SAR</t>
        </is>
      </c>
      <c r="C94" s="4" t="inlineStr">
        <is>
          <t>Saudi National Bank</t>
        </is>
      </c>
      <c r="D94" s="4" t="inlineStr">
        <is>
          <t>SAR</t>
        </is>
      </c>
      <c r="E94" s="5" t="n">
        <v>33201486.51</v>
      </c>
      <c r="F94" s="5" t="n">
        <v>1</v>
      </c>
      <c r="G94" s="5" t="n">
        <v>33201486.51</v>
      </c>
    </row>
    <row r="95">
      <c r="A95" s="4" t="inlineStr">
        <is>
          <t>2026-06-12</t>
        </is>
      </c>
      <c r="B95" s="4" t="inlineStr">
        <is>
          <t>Riyad FX USD</t>
        </is>
      </c>
      <c r="C95" s="4" t="inlineStr">
        <is>
          <t>Riyad Bank</t>
        </is>
      </c>
      <c r="D95" s="4" t="inlineStr">
        <is>
          <t>USD</t>
        </is>
      </c>
      <c r="E95" s="5" t="n">
        <v>1458106.05</v>
      </c>
      <c r="F95" s="5" t="n">
        <v>3.75</v>
      </c>
      <c r="G95" s="5" t="n">
        <v>5467897.7</v>
      </c>
    </row>
    <row r="96">
      <c r="A96" s="4" t="inlineStr">
        <is>
          <t>2026-06-12</t>
        </is>
      </c>
      <c r="B96" s="4" t="inlineStr">
        <is>
          <t>ANB Payroll SAR</t>
        </is>
      </c>
      <c r="C96" s="4" t="inlineStr">
        <is>
          <t>Arab National Bank</t>
        </is>
      </c>
      <c r="D96" s="4" t="inlineStr">
        <is>
          <t>SAR</t>
        </is>
      </c>
      <c r="E96" s="5" t="n">
        <v>1540937.64</v>
      </c>
      <c r="F96" s="5" t="n">
        <v>1</v>
      </c>
      <c r="G96" s="5" t="n">
        <v>1540937.64</v>
      </c>
    </row>
    <row r="97">
      <c r="A97" s="4" t="inlineStr">
        <is>
          <t>2026-06-12</t>
        </is>
      </c>
      <c r="B97" s="4" t="inlineStr">
        <is>
          <t>Emirates NBD EUR</t>
        </is>
      </c>
      <c r="C97" s="4" t="inlineStr">
        <is>
          <t>Emirates NBD UAE</t>
        </is>
      </c>
      <c r="D97" s="4" t="inlineStr">
        <is>
          <t>EUR</t>
        </is>
      </c>
      <c r="E97" s="5" t="n">
        <v>389748.99</v>
      </c>
      <c r="F97" s="5" t="n">
        <v>4.18</v>
      </c>
      <c r="G97" s="5" t="n">
        <v>1629150.77</v>
      </c>
    </row>
    <row r="98">
      <c r="A98" s="4" t="inlineStr">
        <is>
          <t>2026-06-19</t>
        </is>
      </c>
      <c r="B98" s="4" t="inlineStr">
        <is>
          <t>SNB Operating SAR</t>
        </is>
      </c>
      <c r="C98" s="4" t="inlineStr">
        <is>
          <t>Saudi National Bank</t>
        </is>
      </c>
      <c r="D98" s="4" t="inlineStr">
        <is>
          <t>SAR</t>
        </is>
      </c>
      <c r="E98" s="5" t="n">
        <v>34583630.47</v>
      </c>
      <c r="F98" s="5" t="n">
        <v>1</v>
      </c>
      <c r="G98" s="5" t="n">
        <v>34583630.47</v>
      </c>
    </row>
    <row r="99">
      <c r="A99" s="4" t="inlineStr">
        <is>
          <t>2026-06-19</t>
        </is>
      </c>
      <c r="B99" s="4" t="inlineStr">
        <is>
          <t>Riyad FX USD</t>
        </is>
      </c>
      <c r="C99" s="4" t="inlineStr">
        <is>
          <t>Riyad Bank</t>
        </is>
      </c>
      <c r="D99" s="4" t="inlineStr">
        <is>
          <t>USD</t>
        </is>
      </c>
      <c r="E99" s="5" t="n">
        <v>1504458.51</v>
      </c>
      <c r="F99" s="5" t="n">
        <v>3.75</v>
      </c>
      <c r="G99" s="5" t="n">
        <v>5641719.4</v>
      </c>
    </row>
    <row r="100">
      <c r="A100" s="4" t="inlineStr">
        <is>
          <t>2026-06-19</t>
        </is>
      </c>
      <c r="B100" s="4" t="inlineStr">
        <is>
          <t>ANB Payroll SAR</t>
        </is>
      </c>
      <c r="C100" s="4" t="inlineStr">
        <is>
          <t>Arab National Bank</t>
        </is>
      </c>
      <c r="D100" s="4" t="inlineStr">
        <is>
          <t>SAR</t>
        </is>
      </c>
      <c r="E100" s="5" t="n">
        <v>2269834.69</v>
      </c>
      <c r="F100" s="5" t="n">
        <v>1</v>
      </c>
      <c r="G100" s="5" t="n">
        <v>2269834.69</v>
      </c>
    </row>
    <row r="101">
      <c r="A101" s="4" t="inlineStr">
        <is>
          <t>2026-06-19</t>
        </is>
      </c>
      <c r="B101" s="4" t="inlineStr">
        <is>
          <t>Emirates NBD EUR</t>
        </is>
      </c>
      <c r="C101" s="4" t="inlineStr">
        <is>
          <t>Emirates NBD UAE</t>
        </is>
      </c>
      <c r="D101" s="4" t="inlineStr">
        <is>
          <t>EUR</t>
        </is>
      </c>
      <c r="E101" s="5" t="n">
        <v>383474.53</v>
      </c>
      <c r="F101" s="5" t="n">
        <v>4.18</v>
      </c>
      <c r="G101" s="5" t="n">
        <v>1602923.56</v>
      </c>
    </row>
    <row r="102">
      <c r="A102" s="4" t="inlineStr">
        <is>
          <t>2026-06-26</t>
        </is>
      </c>
      <c r="B102" s="4" t="inlineStr">
        <is>
          <t>SNB Operating SAR</t>
        </is>
      </c>
      <c r="C102" s="4" t="inlineStr">
        <is>
          <t>Saudi National Bank</t>
        </is>
      </c>
      <c r="D102" s="4" t="inlineStr">
        <is>
          <t>SAR</t>
        </is>
      </c>
      <c r="E102" s="5" t="n">
        <v>34092717.73</v>
      </c>
      <c r="F102" s="5" t="n">
        <v>1</v>
      </c>
      <c r="G102" s="5" t="n">
        <v>34092717.73</v>
      </c>
    </row>
    <row r="103">
      <c r="A103" s="4" t="inlineStr">
        <is>
          <t>2026-06-26</t>
        </is>
      </c>
      <c r="B103" s="4" t="inlineStr">
        <is>
          <t>Riyad FX USD</t>
        </is>
      </c>
      <c r="C103" s="4" t="inlineStr">
        <is>
          <t>Riyad Bank</t>
        </is>
      </c>
      <c r="D103" s="4" t="inlineStr">
        <is>
          <t>USD</t>
        </is>
      </c>
      <c r="E103" s="5" t="n">
        <v>1452952.18</v>
      </c>
      <c r="F103" s="5" t="n">
        <v>3.75</v>
      </c>
      <c r="G103" s="5" t="n">
        <v>5448570.66</v>
      </c>
    </row>
    <row r="104">
      <c r="A104" s="4" t="inlineStr">
        <is>
          <t>2026-06-26</t>
        </is>
      </c>
      <c r="B104" s="4" t="inlineStr">
        <is>
          <t>ANB Payroll SAR</t>
        </is>
      </c>
      <c r="C104" s="4" t="inlineStr">
        <is>
          <t>Arab National Bank</t>
        </is>
      </c>
      <c r="D104" s="4" t="inlineStr">
        <is>
          <t>SAR</t>
        </is>
      </c>
      <c r="E104" s="5" t="n">
        <v>2800120.19</v>
      </c>
      <c r="F104" s="5" t="n">
        <v>1</v>
      </c>
      <c r="G104" s="5" t="n">
        <v>2800120.19</v>
      </c>
    </row>
    <row r="105">
      <c r="A105" s="4" t="inlineStr">
        <is>
          <t>2026-06-26</t>
        </is>
      </c>
      <c r="B105" s="4" t="inlineStr">
        <is>
          <t>Emirates NBD EUR</t>
        </is>
      </c>
      <c r="C105" s="4" t="inlineStr">
        <is>
          <t>Emirates NBD UAE</t>
        </is>
      </c>
      <c r="D105" s="4" t="inlineStr">
        <is>
          <t>EUR</t>
        </is>
      </c>
      <c r="E105" s="5" t="n">
        <v>386952.57</v>
      </c>
      <c r="F105" s="5" t="n">
        <v>4.18</v>
      </c>
      <c r="G105" s="5">
        <f>E102*F105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6" customWidth="1" min="5" max="5"/>
    <col width="18" customWidth="1" min="6" max="6"/>
    <col width="12" customWidth="1" min="7" max="7"/>
    <col width="12" customWidth="1" min="8" max="8"/>
    <col width="32" customWidth="1" min="9" max="9"/>
    <col width="10" customWidth="1" min="10" max="10"/>
    <col width="38" customWidth="1" min="11" max="11"/>
    <col width="42" customWidth="1" min="12" max="12"/>
    <col width="52" customWidth="1" min="13" max="13"/>
  </cols>
  <sheetData>
    <row r="1">
      <c r="A1" s="3" t="inlineStr">
        <is>
          <t>Hedge_ID</t>
        </is>
      </c>
      <c r="B1" s="3" t="inlineStr">
        <is>
          <t>Counterparty_Bank</t>
        </is>
      </c>
      <c r="C1" s="3" t="inlineStr">
        <is>
          <t>Type</t>
        </is>
      </c>
      <c r="D1" s="3" t="inlineStr">
        <is>
          <t>Notional_Currency</t>
        </is>
      </c>
      <c r="E1" s="3" t="inlineStr">
        <is>
          <t>Notional_Amount</t>
        </is>
      </c>
      <c r="F1" s="3" t="inlineStr">
        <is>
          <t>Locked_Rate (SAR/Foreign)</t>
        </is>
      </c>
      <c r="G1" s="3" t="inlineStr">
        <is>
          <t>Trade_Date</t>
        </is>
      </c>
      <c r="H1" s="3" t="inlineStr">
        <is>
          <t>Maturity_Date</t>
        </is>
      </c>
      <c r="I1" s="3" t="inlineStr">
        <is>
          <t>Coverage_Window</t>
        </is>
      </c>
      <c r="J1" s="3" t="inlineStr">
        <is>
          <t>Coverage_%</t>
        </is>
      </c>
      <c r="K1" s="3" t="inlineStr">
        <is>
          <t>Status</t>
        </is>
      </c>
      <c r="L1" s="3" t="inlineStr">
        <is>
          <t>Applied_To</t>
        </is>
      </c>
      <c r="M1" s="3" t="inlineStr">
        <is>
          <t>Comment</t>
        </is>
      </c>
    </row>
    <row r="2">
      <c r="A2" s="4" t="inlineStr">
        <is>
          <t>HD-2026-001</t>
        </is>
      </c>
      <c r="B2" s="4" t="inlineStr">
        <is>
          <t>SNB Treasury</t>
        </is>
      </c>
      <c r="C2" s="4" t="inlineStr">
        <is>
          <t>Forward</t>
        </is>
      </c>
      <c r="D2" s="4" t="inlineStr">
        <is>
          <t>USD</t>
        </is>
      </c>
      <c r="E2" s="6" t="n">
        <v>1200000</v>
      </c>
      <c r="F2" s="7" t="n">
        <v>3.751</v>
      </c>
      <c r="G2" s="4" t="inlineStr">
        <is>
          <t>2025-12-15</t>
        </is>
      </c>
      <c r="H2" s="4" t="inlineStr">
        <is>
          <t>2026-02-15</t>
        </is>
      </c>
      <c r="I2" s="4" t="inlineStr">
        <is>
          <t>Jan-2026 USD imports</t>
        </is>
      </c>
      <c r="J2" s="4" t="inlineStr">
        <is>
          <t>100</t>
        </is>
      </c>
      <c r="K2" s="4" t="inlineStr">
        <is>
          <t>Closed</t>
        </is>
      </c>
      <c r="L2" s="4" t="inlineStr">
        <is>
          <t>Various USD AP</t>
        </is>
      </c>
      <c r="M2" s="4" t="inlineStr">
        <is>
          <t>Settled at locked rate</t>
        </is>
      </c>
    </row>
    <row r="3">
      <c r="A3" s="4" t="inlineStr">
        <is>
          <t>HD-2026-007</t>
        </is>
      </c>
      <c r="B3" s="4" t="inlineStr">
        <is>
          <t>Riyad Bank</t>
        </is>
      </c>
      <c r="C3" s="4" t="inlineStr">
        <is>
          <t>Forward</t>
        </is>
      </c>
      <c r="D3" s="4" t="inlineStr">
        <is>
          <t>USD</t>
        </is>
      </c>
      <c r="E3" s="6" t="n">
        <v>800000</v>
      </c>
      <c r="F3" s="7" t="n">
        <v>3.7508</v>
      </c>
      <c r="G3" s="4" t="inlineStr">
        <is>
          <t>2026-01-10</t>
        </is>
      </c>
      <c r="H3" s="4" t="inlineStr">
        <is>
          <t>2026-03-10</t>
        </is>
      </c>
      <c r="I3" s="4" t="inlineStr">
        <is>
          <t>Feb-2026 USD imports</t>
        </is>
      </c>
      <c r="J3" s="4" t="inlineStr">
        <is>
          <t>80</t>
        </is>
      </c>
      <c r="K3" s="4" t="inlineStr">
        <is>
          <t>Closed</t>
        </is>
      </c>
      <c r="L3" s="4" t="inlineStr">
        <is>
          <t>Various USD AP</t>
        </is>
      </c>
      <c r="M3" s="4" t="inlineStr">
        <is>
          <t>Settled at locked rate</t>
        </is>
      </c>
    </row>
    <row r="4">
      <c r="A4" s="4" t="inlineStr">
        <is>
          <t>HD-2026-013</t>
        </is>
      </c>
      <c r="B4" s="4" t="inlineStr">
        <is>
          <t>SNB Treasury</t>
        </is>
      </c>
      <c r="C4" s="4" t="inlineStr">
        <is>
          <t>Forward</t>
        </is>
      </c>
      <c r="D4" s="4" t="inlineStr">
        <is>
          <t>EUR</t>
        </is>
      </c>
      <c r="E4" s="6" t="n">
        <v>220000</v>
      </c>
      <c r="F4" s="7" t="n">
        <v>3.69</v>
      </c>
      <c r="G4" s="4" t="inlineStr">
        <is>
          <t>2026-01-22</t>
        </is>
      </c>
      <c r="H4" s="4" t="inlineStr">
        <is>
          <t>2026-03-22</t>
        </is>
      </c>
      <c r="I4" s="4" t="inlineStr">
        <is>
          <t>Feb-2026 EUR imports</t>
        </is>
      </c>
      <c r="J4" s="4" t="inlineStr">
        <is>
          <t>60</t>
        </is>
      </c>
      <c r="K4" s="4" t="inlineStr">
        <is>
          <t>Closed</t>
        </is>
      </c>
      <c r="L4" s="4" t="inlineStr">
        <is>
          <t>Bordeaux Wines Feb shipment</t>
        </is>
      </c>
      <c r="M4" s="4" t="inlineStr">
        <is>
          <t>Settled at locked rate</t>
        </is>
      </c>
    </row>
    <row r="5">
      <c r="A5" s="8" t="inlineStr">
        <is>
          <t>HD-2026-019</t>
        </is>
      </c>
      <c r="B5" s="8" t="inlineStr">
        <is>
          <t>Emirates NBD</t>
        </is>
      </c>
      <c r="C5" s="8" t="inlineStr">
        <is>
          <t>Forward</t>
        </is>
      </c>
      <c r="D5" s="8" t="inlineStr">
        <is>
          <t>EUR</t>
        </is>
      </c>
      <c r="E5" s="9" t="n">
        <v>350000</v>
      </c>
      <c r="F5" s="10" t="n">
        <v>3.73</v>
      </c>
      <c r="G5" s="8" t="inlineStr">
        <is>
          <t>2026-03-05</t>
        </is>
      </c>
      <c r="H5" s="8" t="inlineStr">
        <is>
          <t>2026-05-30</t>
        </is>
      </c>
      <c r="I5" s="8" t="inlineStr">
        <is>
          <t>May-2026 EUR imports</t>
        </is>
      </c>
      <c r="J5" s="8" t="inlineStr">
        <is>
          <t>60</t>
        </is>
      </c>
      <c r="K5" s="8" t="inlineStr">
        <is>
          <t>Open at trade date — UNAPPLIED at settlement of INV-2026-0577</t>
        </is>
      </c>
      <c r="L5" s="8" t="inlineStr">
        <is>
          <t>NONE (operations team did not flag the May Bordeaux invoice to Treasury)</t>
        </is>
      </c>
      <c r="M5" s="8" t="inlineStr">
        <is>
          <t>EXCEPTION: see Pattern 7 — Treasury hedge HD-2026-019 was open and covered ~60% of expected May EUR exposure at locked 3.7300, but Bordeaux INV-2026-0577 settled at spot 4.2100 from Emirates NBD on 06-May-2026 → SAR ~43K leakage vs. hedge counterfactual</t>
        </is>
      </c>
    </row>
    <row r="6">
      <c r="A6" s="4" t="inlineStr">
        <is>
          <t>HD-2026-024</t>
        </is>
      </c>
      <c r="B6" s="4" t="inlineStr">
        <is>
          <t>Riyad Bank</t>
        </is>
      </c>
      <c r="C6" s="4" t="inlineStr">
        <is>
          <t>Forward</t>
        </is>
      </c>
      <c r="D6" s="4" t="inlineStr">
        <is>
          <t>USD</t>
        </is>
      </c>
      <c r="E6" s="6" t="n">
        <v>600000</v>
      </c>
      <c r="F6" s="7" t="n">
        <v>3.7506</v>
      </c>
      <c r="G6" s="4" t="inlineStr">
        <is>
          <t>2026-04-02</t>
        </is>
      </c>
      <c r="H6" s="4" t="inlineStr">
        <is>
          <t>2026-06-02</t>
        </is>
      </c>
      <c r="I6" s="4" t="inlineStr">
        <is>
          <t>May-2026 USD imports</t>
        </is>
      </c>
      <c r="J6" s="4" t="inlineStr">
        <is>
          <t>75</t>
        </is>
      </c>
      <c r="K6" s="4" t="inlineStr">
        <is>
          <t>Closed</t>
        </is>
      </c>
      <c r="L6" s="4" t="inlineStr">
        <is>
          <t>Various USD AP</t>
        </is>
      </c>
      <c r="M6" s="4" t="inlineStr">
        <is>
          <t>Settled at locked rate</t>
        </is>
      </c>
    </row>
    <row r="7">
      <c r="A7" s="4" t="inlineStr">
        <is>
          <t>HD-2026-031</t>
        </is>
      </c>
      <c r="B7" s="4" t="inlineStr">
        <is>
          <t>SNB Treasury</t>
        </is>
      </c>
      <c r="C7" s="4" t="inlineStr">
        <is>
          <t>Forward</t>
        </is>
      </c>
      <c r="D7" s="4" t="inlineStr">
        <is>
          <t>EUR</t>
        </is>
      </c>
      <c r="E7" s="6" t="n">
        <v>180000</v>
      </c>
      <c r="F7" s="7" t="n">
        <v>3.805</v>
      </c>
      <c r="G7" s="4" t="inlineStr">
        <is>
          <t>2026-05-14</t>
        </is>
      </c>
      <c r="H7" s="4" t="inlineStr">
        <is>
          <t>2026-07-14</t>
        </is>
      </c>
      <c r="I7" s="4" t="inlineStr">
        <is>
          <t>Jun-2026 EUR imports</t>
        </is>
      </c>
      <c r="J7" s="4" t="inlineStr">
        <is>
          <t>50</t>
        </is>
      </c>
      <c r="K7" s="4" t="inlineStr">
        <is>
          <t>Open</t>
        </is>
      </c>
      <c r="L7" s="4" t="inlineStr">
        <is>
          <t>TBD</t>
        </is>
      </c>
      <c r="M7" s="4" t="inlineStr">
        <is>
          <t>Currently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3" t="inlineStr">
        <is>
          <t>Vendor</t>
        </is>
      </c>
      <c r="B1" s="3" t="inlineStr">
        <is>
          <t>Currency</t>
        </is>
      </c>
      <c r="C1" s="3" t="inlineStr">
        <is>
          <t>Jul_2026</t>
        </is>
      </c>
      <c r="D1" s="3" t="inlineStr">
        <is>
          <t>Aug_2026</t>
        </is>
      </c>
      <c r="E1" s="3" t="inlineStr">
        <is>
          <t>Sep_2026</t>
        </is>
      </c>
      <c r="F1" s="3" t="inlineStr">
        <is>
          <t>Oct_2026</t>
        </is>
      </c>
      <c r="G1" s="3" t="inlineStr">
        <is>
          <t>Nov_2026</t>
        </is>
      </c>
      <c r="H1" s="3" t="inlineStr">
        <is>
          <t>Dec_2026</t>
        </is>
      </c>
      <c r="I1" s="3" t="inlineStr">
        <is>
          <t>H2_Total_LC</t>
        </is>
      </c>
    </row>
    <row r="2">
      <c r="A2" s="4" t="inlineStr">
        <is>
          <t>Premier Packaging LLC</t>
        </is>
      </c>
      <c r="B2" s="4" t="inlineStr">
        <is>
          <t>SAR</t>
        </is>
      </c>
      <c r="C2" s="6" t="n">
        <v>180000</v>
      </c>
      <c r="D2" s="6" t="n">
        <v>180000</v>
      </c>
      <c r="E2" s="6" t="n">
        <v>180000</v>
      </c>
      <c r="F2" s="6" t="n">
        <v>180000</v>
      </c>
      <c r="G2" s="6" t="n">
        <v>180000</v>
      </c>
      <c r="H2" s="6" t="n">
        <v>180000</v>
      </c>
      <c r="I2" s="6">
        <f>SUM(C2:H2)</f>
        <v/>
      </c>
    </row>
    <row r="3">
      <c r="A3" s="4" t="inlineStr">
        <is>
          <t>Saudi Trading Co</t>
        </is>
      </c>
      <c r="B3" s="4" t="inlineStr">
        <is>
          <t>SAR</t>
        </is>
      </c>
      <c r="C3" s="6" t="n">
        <v>520000</v>
      </c>
      <c r="D3" s="6" t="n">
        <v>490000</v>
      </c>
      <c r="E3" s="6" t="n">
        <v>510000</v>
      </c>
      <c r="F3" s="6" t="n">
        <v>480000</v>
      </c>
      <c r="G3" s="6" t="n">
        <v>495000</v>
      </c>
      <c r="H3" s="6" t="n">
        <v>505000</v>
      </c>
      <c r="I3" s="6">
        <f>SUM(C3:H3)</f>
        <v/>
      </c>
    </row>
    <row r="4">
      <c r="A4" s="4" t="inlineStr">
        <is>
          <t>Al-Rashid Trading Co LLC</t>
        </is>
      </c>
      <c r="B4" s="4" t="inlineStr">
        <is>
          <t>SAR</t>
        </is>
      </c>
      <c r="C4" s="6" t="n">
        <v>58000</v>
      </c>
      <c r="D4" s="6" t="n">
        <v>62000</v>
      </c>
      <c r="E4" s="6" t="n">
        <v>55000</v>
      </c>
      <c r="F4" s="6" t="n">
        <v>60000</v>
      </c>
      <c r="G4" s="6" t="n">
        <v>58000</v>
      </c>
      <c r="H4" s="6" t="n">
        <v>61000</v>
      </c>
      <c r="I4" s="6">
        <f>SUM(C4:G4)</f>
        <v/>
      </c>
    </row>
    <row r="5">
      <c r="A5" s="4" t="inlineStr">
        <is>
          <t>Gulf Logistics Services Co</t>
        </is>
      </c>
      <c r="B5" s="4" t="inlineStr">
        <is>
          <t>SAR</t>
        </is>
      </c>
      <c r="C5" s="6" t="n">
        <v>229000</v>
      </c>
      <c r="D5" s="6" t="n">
        <v>229000</v>
      </c>
      <c r="E5" s="6" t="n">
        <v>229000</v>
      </c>
      <c r="F5" s="6" t="n">
        <v>229000</v>
      </c>
      <c r="G5" s="6" t="n">
        <v>229000</v>
      </c>
      <c r="H5" s="6" t="n">
        <v>229000</v>
      </c>
      <c r="I5" s="6">
        <f>SUM(C5:H5)</f>
        <v/>
      </c>
    </row>
    <row r="6">
      <c r="A6" s="4" t="inlineStr">
        <is>
          <t>Gulf Cosmetics Co</t>
        </is>
      </c>
      <c r="B6" s="4" t="inlineStr">
        <is>
          <t>SAR</t>
        </is>
      </c>
      <c r="C6" s="6" t="n">
        <v>130000</v>
      </c>
      <c r="D6" s="6" t="n">
        <v>128000</v>
      </c>
      <c r="E6" s="6" t="n">
        <v>131000</v>
      </c>
      <c r="F6" s="6" t="n">
        <v>127000</v>
      </c>
      <c r="G6" s="6" t="n">
        <v>130000</v>
      </c>
      <c r="H6" s="6" t="n">
        <v>129000</v>
      </c>
      <c r="I6" s="6">
        <f>SUM(C6:H6)</f>
        <v/>
      </c>
    </row>
    <row r="7">
      <c r="A7" s="4" t="inlineStr">
        <is>
          <t>Quick Print Services</t>
        </is>
      </c>
      <c r="B7" s="4" t="inlineStr">
        <is>
          <t>SAR</t>
        </is>
      </c>
      <c r="C7" s="6" t="n">
        <v>38000</v>
      </c>
      <c r="D7" s="6">
        <f>#REF!*0</f>
        <v/>
      </c>
      <c r="E7" s="6" t="n">
        <v>39000</v>
      </c>
      <c r="F7" s="6" t="n">
        <v>42000</v>
      </c>
      <c r="G7" s="6" t="n">
        <v>38000</v>
      </c>
      <c r="H7" s="6" t="n">
        <v>40000</v>
      </c>
      <c r="I7" s="6">
        <f>SUM(C7:H7)</f>
        <v/>
      </c>
    </row>
    <row r="8">
      <c r="A8" s="4" t="inlineStr">
        <is>
          <t>Mediterranean Foods Trading LLC</t>
        </is>
      </c>
      <c r="B8" s="4" t="inlineStr">
        <is>
          <t>SAR</t>
        </is>
      </c>
      <c r="C8" s="6" t="n">
        <v>78000</v>
      </c>
      <c r="D8" s="6" t="n">
        <v>82000</v>
      </c>
      <c r="E8" s="6" t="n">
        <v>80000</v>
      </c>
      <c r="F8" s="6" t="n">
        <v>84000</v>
      </c>
      <c r="G8" s="6" t="n">
        <v>82000</v>
      </c>
      <c r="H8" s="6" t="n">
        <v>86000</v>
      </c>
      <c r="I8" s="6">
        <f>SUM(C8:H8)</f>
        <v/>
      </c>
    </row>
    <row r="9">
      <c r="A9" s="4" t="inlineStr">
        <is>
          <t>Bordeaux Wines &amp; Spirits SARL</t>
        </is>
      </c>
      <c r="B9" s="4" t="inlineStr">
        <is>
          <t>EUR</t>
        </is>
      </c>
      <c r="C9" s="6" t="n">
        <v>92000</v>
      </c>
      <c r="D9" s="6" t="n">
        <v>88000</v>
      </c>
      <c r="E9" s="6" t="n">
        <v>95000</v>
      </c>
      <c r="F9" s="6" t="n">
        <v>90000</v>
      </c>
      <c r="G9" s="6" t="n">
        <v>98000</v>
      </c>
      <c r="H9" s="6" t="n">
        <v>94000</v>
      </c>
      <c r="I9" s="6">
        <f>SUM(C9:H9)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Notes &amp; Known Issues</t>
        </is>
      </c>
    </row>
    <row r="3" ht="30" customHeight="1">
      <c r="A3" s="12" t="inlineStr">
        <is>
          <t>1. Cash_Position sheet is stitched from weekly SAP TM exports — accuracy depends on the export timing.</t>
        </is>
      </c>
    </row>
    <row r="4" ht="38" customHeight="1">
      <c r="A4" s="12" t="inlineStr">
        <is>
          <t>2. Hedge HD-2026-019 should have been applied to Bordeaux May invoice INV-2026-0577 (see Hedges sheet, highlighted row). Treasury escalated to Procurement on 4-May, no response. Follow-up needed.</t>
        </is>
      </c>
    </row>
    <row r="5">
      <c r="A5" s="12" t="inlineStr">
        <is>
          <t>3. Vendor_CF_Forecast for Al-Rashid shows V-1142 only. We need to check whether V-1187 (apparent duplicate) should be consolidated before extending forecasts.</t>
        </is>
      </c>
    </row>
    <row r="6">
      <c r="A6" s="12" t="inlineStr">
        <is>
          <t>4. Cell errors flagged on rows 4 and 7 of Vendor_CF_Forecast — minor, will fix in July refresh.</t>
        </is>
      </c>
    </row>
    <row r="7">
      <c r="A7" s="12" t="inlineStr">
        <is>
          <t>5. SAR/EUR book rate used in Cash_Position is 4.18 — actual spot at month-end was 4.21. SAR ~30K variance on the EUR balance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2026-05-29T08:58:16Z</dcterms:created>
  <dcterms:modified xmlns:dcterms="http://purl.org/dc/terms/" xmlns:xsi="http://www.w3.org/2001/XMLSchema-instance" xsi:type="dcterms:W3CDTF">2026-05-29T08:58:16Z</dcterms:modified>
</cp:coreProperties>
</file>